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fcc1a6f11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_PACW_History" sheetId="1" r:id="R84bac3692a2048c3"/>
    <x:sheet xmlns:r="http://schemas.openxmlformats.org/officeDocument/2006/relationships" name="MSCI_ACWI" sheetId="2" r:id="R506e9ae7678d4f41"/>
    <x:sheet xmlns:r="http://schemas.openxmlformats.org/officeDocument/2006/relationships" name="Solactive_GBS" sheetId="3" r:id="Rf9f75bf3ab824e5a"/>
    <x:sheet xmlns:r="http://schemas.openxmlformats.org/officeDocument/2006/relationships" name="PACW_Actual" sheetId="4" r:id="R4ab8dc8e3cc744af"/>
    <x:sheet xmlns:r="http://schemas.openxmlformats.org/officeDocument/2006/relationships" name="Sources" sheetId="5" r:id="R6d56410c7329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000%"/>
    <x:numFmt numFmtId="203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name val="Carlito"/>
    </x:font>
    <x:font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52c0659c5420a" /><Relationship Type="http://schemas.openxmlformats.org/officeDocument/2006/relationships/theme" Target="/xl/theme/theme1.xml" Id="R5cdceb20a2874f8f" /><Relationship Type="http://schemas.openxmlformats.org/officeDocument/2006/relationships/sharedStrings" Target="/xl/sharedStrings.xml" Id="R5aa14580dacc4594" /><Relationship Type="http://schemas.openxmlformats.org/officeDocument/2006/relationships/worksheet" Target="/xl/worksheets/sheet1.xml" Id="R84bac3692a2048c3" /><Relationship Type="http://schemas.openxmlformats.org/officeDocument/2006/relationships/worksheet" Target="/xl/worksheets/sheet2.xml" Id="R506e9ae7678d4f41" /><Relationship Type="http://schemas.openxmlformats.org/officeDocument/2006/relationships/worksheet" Target="/xl/worksheets/sheet3.xml" Id="Rf9f75bf3ab824e5a" /><Relationship Type="http://schemas.openxmlformats.org/officeDocument/2006/relationships/worksheet" Target="/xl/worksheets/sheet4.xml" Id="R4ab8dc8e3cc744af" /><Relationship Type="http://schemas.openxmlformats.org/officeDocument/2006/relationships/worksheet" Target="/xl/worksheets/sheet5.xml" Id="R6d56410c73294e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>
      <x:c r="A1" s="3" t="str">
        <x:v>date</x:v>
      </x:c>
      <x:c r="B1" s="3" t="str">
        <x:v>source</x:v>
      </x:c>
      <x:c r="C1" s="3" t="str">
        <x:v>source_index_level_GBP</x:v>
      </x:c>
      <x:c r="D1" s="3" t="str">
        <x:v>underlying_nominal_return_GBP</x:v>
      </x:c>
      <x:c r="E1" s="3" t="str">
        <x:v>ONS_CPI_index</x:v>
      </x:c>
      <x:c r="F1" s="3" t="str">
        <x:v>monthly_inflation</x:v>
      </x:c>
      <x:c r="G1" s="3" t="str">
        <x:v>underlying_real_return_GBP</x:v>
      </x:c>
    </x:row>
    <x:row r="2">
      <x:c r="A2" s="6" t="n">
        <x:v>34485</x:v>
      </x:c>
      <x:c r="B2" t="str">
        <x:f>IF(A2&lt;=DATE(2006,5,31),"MSCI ACWI GBP Net Return",IF(A2&lt;=DATE(2024,2,29),"Solactive GBS Global Markets L&amp;M GBP NTR","PACW actual grossed up by OCF"))</x:f>
        <x:v>MSCI ACWI GBP Net Return</x:v>
      </x:c>
      <x:c r="C2" s="8" t="n">
        <x:f>MSCI_ACWI!B2</x:f>
        <x:v>22029.61148783406</x:v>
      </x:c>
      <x:c r="D2" s="10" t="str">
        <x:f>""</x:f>
      </x:c>
      <x:c r="E2" s="12" t="n">
        <x:f>Sources!I2</x:f>
        <x:v>65.8</x:v>
      </x:c>
      <x:c r="F2" s="10" t="str">
        <x:f>""</x:f>
      </x:c>
      <x:c r="G2" s="10" t="str">
        <x:f>""</x:f>
      </x:c>
    </x:row>
    <x:row r="3">
      <x:c r="A3" s="6" t="n">
        <x:v>34515</x:v>
      </x:c>
      <x:c r="B3" t="str">
        <x:f>IF(A3&lt;=DATE(2006,5,31),"MSCI ACWI GBP Net Return",IF(A3&lt;=DATE(2024,2,29),"Solactive GBS Global Markets L&amp;M GBP NTR","PACW actual grossed up by OCF"))</x:f>
        <x:v>MSCI ACWI GBP Net Return</x:v>
      </x:c>
      <x:c r="C3" s="8" t="n">
        <x:f>MSCI_ACWI!B3</x:f>
        <x:v>21606.609356571877</x:v>
      </x:c>
      <x:c r="D3" s="10" t="n">
        <x:f>MSCI_ACWI!C3</x:f>
        <x:v>-0.01920152479746584</x:v>
      </x:c>
      <x:c r="E3" s="12" t="n">
        <x:f>Sources!I3</x:f>
        <x:v>65.8</x:v>
      </x:c>
      <x:c r="F3" s="10" t="n">
        <x:f>E3/E2-1</x:f>
        <x:v>0</x:v>
      </x:c>
      <x:c r="G3" s="10" t="n">
        <x:f>(1+D3)/(1+F3)-1</x:f>
        <x:v>-0.01920152479746584</x:v>
      </x:c>
    </x:row>
    <x:row r="4">
      <x:c r="A4" s="6" t="n">
        <x:v>34546</x:v>
      </x:c>
      <x:c r="B4" t="str">
        <x:f>IF(A4&lt;=DATE(2006,5,31),"MSCI ACWI GBP Net Return",IF(A4&lt;=DATE(2024,2,29),"Solactive GBS Global Markets L&amp;M GBP NTR","PACW actual grossed up by OCF"))</x:f>
        <x:v>MSCI ACWI GBP Net Return</x:v>
      </x:c>
      <x:c r="C4" s="8" t="n">
        <x:f>MSCI_ACWI!B4</x:f>
        <x:v>21792.12599728454</x:v>
      </x:c>
      <x:c r="D4" s="10" t="n">
        <x:f>MSCI_ACWI!C4</x:f>
        <x:v>0.00858610611461974</x:v>
      </x:c>
      <x:c r="E4" s="12" t="n">
        <x:f>Sources!I4</x:f>
        <x:v>65.4</x:v>
      </x:c>
      <x:c r="F4" s="10" t="n">
        <x:f>E4/E3-1</x:f>
        <x:v>-0.006079027355622935</x:v>
      </x:c>
      <x:c r="G4" s="10" t="n">
        <x:f>(1+D4)/(1+F4)-1</x:f>
        <x:v>0.014754828476176929</x:v>
      </x:c>
    </x:row>
    <x:row r="5">
      <x:c r="A5" s="6" t="n">
        <x:v>34577</x:v>
      </x:c>
      <x:c r="B5" t="str">
        <x:f>IF(A5&lt;=DATE(2006,5,31),"MSCI ACWI GBP Net Return",IF(A5&lt;=DATE(2024,2,29),"Solactive GBS Global Markets L&amp;M GBP NTR","PACW actual grossed up by OCF"))</x:f>
        <x:v>MSCI ACWI GBP Net Return</x:v>
      </x:c>
      <x:c r="C5" s="8" t="n">
        <x:f>MSCI_ACWI!B5</x:f>
        <x:v>22634.21636623006</x:v>
      </x:c>
      <x:c r="D5" s="10" t="n">
        <x:f>MSCI_ACWI!C5</x:f>
        <x:v>0.03864195577110974</x:v>
      </x:c>
      <x:c r="E5" s="12" t="n">
        <x:f>Sources!I5</x:f>
        <x:v>65.7</x:v>
      </x:c>
      <x:c r="F5" s="10" t="n">
        <x:f>E5/E4-1</x:f>
        <x:v>0.004587155963302614</x:v>
      </x:c>
      <x:c r="G5" s="10" t="n">
        <x:f>(1+D5)/(1+F5)-1</x:f>
        <x:v>0.03389929843882178</x:v>
      </x:c>
    </x:row>
    <x:row r="6">
      <x:c r="A6" s="6" t="n">
        <x:v>34607</x:v>
      </x:c>
      <x:c r="B6" t="str">
        <x:f>IF(A6&lt;=DATE(2006,5,31),"MSCI ACWI GBP Net Return",IF(A6&lt;=DATE(2024,2,29),"Solactive GBS Global Markets L&amp;M GBP NTR","PACW actual grossed up by OCF"))</x:f>
        <x:v>MSCI ACWI GBP Net Return</x:v>
      </x:c>
      <x:c r="C6" s="8" t="n">
        <x:f>MSCI_ACWI!B6</x:f>
        <x:v>21765.417482919354</x:v>
      </x:c>
      <x:c r="D6" s="10" t="n">
        <x:f>MSCI_ACWI!C6</x:f>
        <x:v>-0.03838431467002057</x:v>
      </x:c>
      <x:c r="E6" s="12" t="n">
        <x:f>Sources!I6</x:f>
        <x:v>65.8</x:v>
      </x:c>
      <x:c r="F6" s="10" t="n">
        <x:f>E6/E5-1</x:f>
        <x:v>0.0015220700152205335</x:v>
      </x:c>
      <x:c r="G6" s="10" t="n">
        <x:f>(1+D6)/(1+F6)-1</x:f>
        <x:v>-0.03984573668419966</x:v>
      </x:c>
    </x:row>
    <x:row r="7">
      <x:c r="A7" s="6" t="n">
        <x:v>34638</x:v>
      </x:c>
      <x:c r="B7" t="str">
        <x:f>IF(A7&lt;=DATE(2006,5,31),"MSCI ACWI GBP Net Return",IF(A7&lt;=DATE(2024,2,29),"Solactive GBS Global Markets L&amp;M GBP NTR","PACW actual grossed up by OCF"))</x:f>
        <x:v>MSCI ACWI GBP Net Return</x:v>
      </x:c>
      <x:c r="C7" s="8" t="n">
        <x:f>MSCI_ACWI!B7</x:f>
        <x:v>21763.220916334656</x:v>
      </x:c>
      <x:c r="D7" s="10" t="n">
        <x:f>MSCI_ACWI!C7</x:f>
        <x:v>-0.0001009200299705304</x:v>
      </x:c>
      <x:c r="E7" s="12" t="n">
        <x:f>Sources!I7</x:f>
        <x:v>65.7</x:v>
      </x:c>
      <x:c r="F7" s="10" t="n">
        <x:f>E7/E6-1</x:f>
        <x:v>-0.001519756838905706</x:v>
      </x:c>
      <x:c r="G7" s="10" t="n">
        <x:f>(1+D7)/(1+F7)-1</x:f>
        <x:v>0.001420996377898609</x:v>
      </x:c>
    </x:row>
    <x:row r="8">
      <x:c r="A8" s="6" t="n">
        <x:v>34668</x:v>
      </x:c>
      <x:c r="B8" t="str">
        <x:f>IF(A8&lt;=DATE(2006,5,31),"MSCI ACWI GBP Net Return",IF(A8&lt;=DATE(2024,2,29),"Solactive GBS Global Markets L&amp;M GBP NTR","PACW actual grossed up by OCF"))</x:f>
        <x:v>MSCI ACWI GBP Net Return</x:v>
      </x:c>
      <x:c r="C8" s="8" t="n">
        <x:f>MSCI_ACWI!B8</x:f>
        <x:v>21043.398137427637</x:v>
      </x:c>
      <x:c r="D8" s="10" t="n">
        <x:f>MSCI_ACWI!C8</x:f>
        <x:v>-0.033075195150307324</x:v>
      </x:c>
      <x:c r="E8" s="12" t="n">
        <x:f>Sources!I8</x:f>
        <x:v>65.7</x:v>
      </x:c>
      <x:c r="F8" s="10" t="n">
        <x:f>E8/E7-1</x:f>
        <x:v>0</x:v>
      </x:c>
      <x:c r="G8" s="10" t="n">
        <x:f>(1+D8)/(1+F8)-1</x:f>
        <x:v>-0.033075195150307324</x:v>
      </x:c>
    </x:row>
    <x:row r="9">
      <x:c r="A9" s="6" t="n">
        <x:v>34699</x:v>
      </x:c>
      <x:c r="B9" t="str">
        <x:f>IF(A9&lt;=DATE(2006,5,31),"MSCI ACWI GBP Net Return",IF(A9&lt;=DATE(2024,2,29),"Solactive GBS Global Markets L&amp;M GBP NTR","PACW actual grossed up by OCF"))</x:f>
        <x:v>MSCI ACWI GBP Net Return</x:v>
      </x:c>
      <x:c r="C9" s="8" t="n">
        <x:f>MSCI_ACWI!B9</x:f>
        <x:v>21530.02230063514</x:v>
      </x:c>
      <x:c r="D9" s="10" t="n">
        <x:f>MSCI_ACWI!C9</x:f>
        <x:v>0.023124790018680397</x:v>
      </x:c>
      <x:c r="E9" s="12" t="n">
        <x:f>Sources!I9</x:f>
        <x:v>66</x:v>
      </x:c>
      <x:c r="F9" s="10" t="n">
        <x:f>E9/E8-1</x:f>
        <x:v>0.004566210045662045</x:v>
      </x:c>
      <x:c r="G9" s="10" t="n">
        <x:f>(1+D9)/(1+F9)-1</x:f>
        <x:v>0.018474222791322825</x:v>
      </x:c>
    </x:row>
    <x:row r="10">
      <x:c r="A10" s="6" t="n">
        <x:v>34730</x:v>
      </x:c>
      <x:c r="B10" t="str">
        <x:f>IF(A10&lt;=DATE(2006,5,31),"MSCI ACWI GBP Net Return",IF(A10&lt;=DATE(2024,2,29),"Solactive GBS Global Markets L&amp;M GBP NTR","PACW actual grossed up by OCF"))</x:f>
        <x:v>MSCI ACWI GBP Net Return</x:v>
      </x:c>
      <x:c r="C10" s="8" t="n">
        <x:f>MSCI_ACWI!B10</x:f>
        <x:v>20878.935501079635</x:v>
      </x:c>
      <x:c r="D10" s="10" t="n">
        <x:f>MSCI_ACWI!C10</x:f>
        <x:v>-0.03024087901368766</x:v>
      </x:c>
      <x:c r="E10" s="12" t="n">
        <x:f>Sources!I10</x:f>
        <x:v>66</x:v>
      </x:c>
      <x:c r="F10" s="10" t="n">
        <x:f>E10/E9-1</x:f>
        <x:v>0</x:v>
      </x:c>
      <x:c r="G10" s="10" t="n">
        <x:f>(1+D10)/(1+F10)-1</x:f>
        <x:v>-0.03024087901368766</x:v>
      </x:c>
    </x:row>
    <x:row r="11">
      <x:c r="A11" s="6" t="n">
        <x:v>34758</x:v>
      </x:c>
      <x:c r="B11" t="str">
        <x:f>IF(A11&lt;=DATE(2006,5,31),"MSCI ACWI GBP Net Return",IF(A11&lt;=DATE(2024,2,29),"Solactive GBS Global Markets L&amp;M GBP NTR","PACW actual grossed up by OCF"))</x:f>
        <x:v>MSCI ACWI GBP Net Return</x:v>
      </x:c>
      <x:c r="C11" s="8" t="n">
        <x:f>MSCI_ACWI!B11</x:f>
        <x:v>21136.832977099228</x:v>
      </x:c>
      <x:c r="D11" s="10" t="n">
        <x:f>MSCI_ACWI!C11</x:f>
        <x:v>0.012352041415437887</x:v>
      </x:c>
      <x:c r="E11" s="12" t="n">
        <x:f>Sources!I11</x:f>
        <x:v>66.3</x:v>
      </x:c>
      <x:c r="F11" s="10" t="n">
        <x:f>E11/E10-1</x:f>
        <x:v>0.004545454545454408</x:v>
      </x:c>
      <x:c r="G11" s="10" t="n">
        <x:f>(1+D11)/(1+F11)-1</x:f>
        <x:v>0.007771262947494861</x:v>
      </x:c>
    </x:row>
    <x:row r="12">
      <x:c r="A12" s="6" t="n">
        <x:v>34789</x:v>
      </x:c>
      <x:c r="B12" t="str">
        <x:f>IF(A12&lt;=DATE(2006,5,31),"MSCI ACWI GBP Net Return",IF(A12&lt;=DATE(2024,2,29),"Solactive GBS Global Markets L&amp;M GBP NTR","PACW actual grossed up by OCF"))</x:f>
        <x:v>MSCI ACWI GBP Net Return</x:v>
      </x:c>
      <x:c r="C12" s="8" t="n">
        <x:f>MSCI_ACWI!B12</x:f>
        <x:v>21715.428571428565</x:v>
      </x:c>
      <x:c r="D12" s="10" t="n">
        <x:f>MSCI_ACWI!C12</x:f>
        <x:v>0.027373807370111525</x:v>
      </x:c>
      <x:c r="E12" s="12" t="n">
        <x:f>Sources!I12</x:f>
        <x:v>66.7</x:v>
      </x:c>
      <x:c r="F12" s="10" t="n">
        <x:f>E12/E11-1</x:f>
        <x:v>0.006033182503770718</x:v>
      </x:c>
      <x:c r="G12" s="10" t="n">
        <x:f>(1+D12)/(1+F12)-1</x:f>
        <x:v>0.021212645107022476</x:v>
      </x:c>
    </x:row>
    <x:row r="13">
      <x:c r="A13" s="6" t="n">
        <x:v>34819</x:v>
      </x:c>
      <x:c r="B13" t="str">
        <x:f>IF(A13&lt;=DATE(2006,5,31),"MSCI ACWI GBP Net Return",IF(A13&lt;=DATE(2024,2,29),"Solactive GBS Global Markets L&amp;M GBP NTR","PACW actual grossed up by OCF"))</x:f>
        <x:v>MSCI ACWI GBP Net Return</x:v>
      </x:c>
      <x:c r="C13" s="8" t="n">
        <x:f>MSCI_ACWI!B13</x:f>
        <x:v>22405.8436383998</x:v>
      </x:c>
      <x:c r="D13" s="10" t="n">
        <x:f>MSCI_ACWI!C13</x:f>
        <x:v>0.031793757360130126</x:v>
      </x:c>
      <x:c r="E13" s="12" t="n">
        <x:f>Sources!I13</x:f>
        <x:v>67</x:v>
      </x:c>
      <x:c r="F13" s="10" t="n">
        <x:f>E13/E12-1</x:f>
        <x:v>0.004497751124437732</x:v>
      </x:c>
      <x:c r="G13" s="10" t="n">
        <x:f>(1+D13)/(1+F13)-1</x:f>
        <x:v>0.0271737853122489</x:v>
      </x:c>
    </x:row>
    <x:row r="14">
      <x:c r="A14" s="6" t="n">
        <x:v>34850</x:v>
      </x:c>
      <x:c r="B14" t="str">
        <x:f>IF(A14&lt;=DATE(2006,5,31),"MSCI ACWI GBP Net Return",IF(A14&lt;=DATE(2024,2,29),"Solactive GBS Global Markets L&amp;M GBP NTR","PACW actual grossed up by OCF"))</x:f>
        <x:v>MSCI ACWI GBP Net Return</x:v>
      </x:c>
      <x:c r="C14" s="8" t="n">
        <x:f>MSCI_ACWI!B14</x:f>
        <x:v>22937.18886229053</x:v>
      </x:c>
      <x:c r="D14" s="10" t="n">
        <x:f>MSCI_ACWI!C14</x:f>
        <x:v>0.02371458234137158</x:v>
      </x:c>
      <x:c r="E14" s="12" t="n">
        <x:f>Sources!I14</x:f>
        <x:v>67.4</x:v>
      </x:c>
      <x:c r="F14" s="10" t="n">
        <x:f>E14/E13-1</x:f>
        <x:v>0.005970149253731405</x:v>
      </x:c>
      <x:c r="G14" s="10" t="n">
        <x:f>(1+D14)/(1+F14)-1</x:f>
        <x:v>0.017639124879405</x:v>
      </x:c>
    </x:row>
    <x:row r="15">
      <x:c r="A15" s="6" t="n">
        <x:v>34880</x:v>
      </x:c>
      <x:c r="B15" t="str">
        <x:f>IF(A15&lt;=DATE(2006,5,31),"MSCI ACWI GBP Net Return",IF(A15&lt;=DATE(2024,2,29),"Solactive GBS Global Markets L&amp;M GBP NTR","PACW actual grossed up by OCF"))</x:f>
        <x:v>MSCI ACWI GBP Net Return</x:v>
      </x:c>
      <x:c r="C15" s="8" t="n">
        <x:f>MSCI_ACWI!B15</x:f>
        <x:v>22835.80406320541</x:v>
      </x:c>
      <x:c r="D15" s="10" t="n">
        <x:f>MSCI_ACWI!C15</x:f>
        <x:v>-0.004420105693588305</x:v>
      </x:c>
      <x:c r="E15" s="12" t="n">
        <x:f>Sources!I15</x:f>
        <x:v>67.4</x:v>
      </x:c>
      <x:c r="F15" s="10" t="n">
        <x:f>E15/E14-1</x:f>
        <x:v>0</x:v>
      </x:c>
      <x:c r="G15" s="10" t="n">
        <x:f>(1+D15)/(1+F15)-1</x:f>
        <x:v>-0.004420105693588305</x:v>
      </x:c>
    </x:row>
    <x:row r="16">
      <x:c r="A16" s="6" t="n">
        <x:v>34911</x:v>
      </x:c>
      <x:c r="B16" t="str">
        <x:f>IF(A16&lt;=DATE(2006,5,31),"MSCI ACWI GBP Net Return",IF(A16&lt;=DATE(2024,2,29),"Solactive GBS Global Markets L&amp;M GBP NTR","PACW actual grossed up by OCF"))</x:f>
        <x:v>MSCI ACWI GBP Net Return</x:v>
      </x:c>
      <x:c r="C16" s="8" t="n">
        <x:f>MSCI_ACWI!B16</x:f>
        <x:v>23934.672216649946</x:v>
      </x:c>
      <x:c r="D16" s="10" t="n">
        <x:f>MSCI_ACWI!C16</x:f>
        <x:v>0.048120405587780635</x:v>
      </x:c>
      <x:c r="E16" s="12" t="n">
        <x:f>Sources!I16</x:f>
        <x:v>67.1</x:v>
      </x:c>
      <x:c r="F16" s="10" t="n">
        <x:f>E16/E15-1</x:f>
        <x:v>-0.004451038575667865</x:v>
      </x:c>
      <x:c r="G16" s="10" t="n">
        <x:f>(1+D16)/(1+F16)-1</x:f>
        <x:v>0.05280648787803921</x:v>
      </x:c>
    </x:row>
    <x:row r="17">
      <x:c r="A17" s="6" t="n">
        <x:v>34942</x:v>
      </x:c>
      <x:c r="B17" t="str">
        <x:f>IF(A17&lt;=DATE(2006,5,31),"MSCI ACWI GBP Net Return",IF(A17&lt;=DATE(2024,2,29),"Solactive GBS Global Markets L&amp;M GBP NTR","PACW actual grossed up by OCF"))</x:f>
        <x:v>MSCI ACWI GBP Net Return</x:v>
      </x:c>
      <x:c r="C17" s="8" t="n">
        <x:f>MSCI_ACWI!B17</x:f>
        <x:v>23834.97870819505</x:v>
      </x:c>
      <x:c r="D17" s="10" t="n">
        <x:f>MSCI_ACWI!C17</x:f>
        <x:v>-0.004165233914736666</x:v>
      </x:c>
      <x:c r="E17" s="12" t="n">
        <x:f>Sources!I17</x:f>
        <x:v>67.4</x:v>
      </x:c>
      <x:c r="F17" s="10" t="n">
        <x:f>E17/E16-1</x:f>
        <x:v>0.0044709388971686526</x:v>
      </x:c>
      <x:c r="G17" s="10" t="n">
        <x:f>(1+D17)/(1+F17)-1</x:f>
        <x:v>-0.00859773287357335</x:v>
      </x:c>
    </x:row>
    <x:row r="18">
      <x:c r="A18" s="6" t="n">
        <x:v>34972</x:v>
      </x:c>
      <x:c r="B18" t="str">
        <x:f>IF(A18&lt;=DATE(2006,5,31),"MSCI ACWI GBP Net Return",IF(A18&lt;=DATE(2024,2,29),"Solactive GBS Global Markets L&amp;M GBP NTR","PACW actual grossed up by OCF"))</x:f>
        <x:v>MSCI ACWI GBP Net Return</x:v>
      </x:c>
      <x:c r="C18" s="8" t="n">
        <x:f>MSCI_ACWI!B18</x:f>
        <x:v>24613.254958306603</x:v>
      </x:c>
      <x:c r="D18" s="10" t="n">
        <x:f>MSCI_ACWI!C18</x:f>
        <x:v>0.03265269332269072</x:v>
      </x:c>
      <x:c r="E18" s="12" t="n">
        <x:f>Sources!I18</x:f>
        <x:v>67.7</x:v>
      </x:c>
      <x:c r="F18" s="10" t="n">
        <x:f>E18/E17-1</x:f>
        <x:v>0.004451038575667532</x:v>
      </x:c>
      <x:c r="G18" s="10" t="n">
        <x:f>(1+D18)/(1+F18)-1</x:f>
        <x:v>0.02807668434194044</x:v>
      </x:c>
    </x:row>
    <x:row r="19">
      <x:c r="A19" s="6" t="n">
        <x:v>35003</x:v>
      </x:c>
      <x:c r="B19" t="str">
        <x:f>IF(A19&lt;=DATE(2006,5,31),"MSCI ACWI GBP Net Return",IF(A19&lt;=DATE(2024,2,29),"Solactive GBS Global Markets L&amp;M GBP NTR","PACW actual grossed up by OCF"))</x:f>
        <x:v>MSCI ACWI GBP Net Return</x:v>
      </x:c>
      <x:c r="C19" s="8" t="n">
        <x:f>MSCI_ACWI!B19</x:f>
        <x:v>23911.97434564928</x:v>
      </x:c>
      <x:c r="D19" s="10" t="n">
        <x:f>MSCI_ACWI!C19</x:f>
        <x:v>-0.028491989939780415</x:v>
      </x:c>
      <x:c r="E19" s="12" t="n">
        <x:f>Sources!I19</x:f>
        <x:v>67.6</x:v>
      </x:c>
      <x:c r="F19" s="10" t="n">
        <x:f>E19/E18-1</x:f>
        <x:v>-0.001477104874446189</x:v>
      </x:c>
      <x:c r="G19" s="10" t="n">
        <x:f>(1+D19)/(1+F19)-1</x:f>
        <x:v>-0.027054847913064006</x:v>
      </x:c>
    </x:row>
    <x:row r="20">
      <x:c r="A20" s="6" t="n">
        <x:v>35033</x:v>
      </x:c>
      <x:c r="B20" t="str">
        <x:f>IF(A20&lt;=DATE(2006,5,31),"MSCI ACWI GBP Net Return",IF(A20&lt;=DATE(2024,2,29),"Solactive GBS Global Markets L&amp;M GBP NTR","PACW actual grossed up by OCF"))</x:f>
        <x:v>MSCI ACWI GBP Net Return</x:v>
      </x:c>
      <x:c r="C20" s="8" t="n">
        <x:f>MSCI_ACWI!B20</x:f>
        <x:v>24907.2611328</x:v>
      </x:c>
      <x:c r="D20" s="10" t="n">
        <x:f>MSCI_ACWI!C20</x:f>
        <x:v>0.041622944754112545</x:v>
      </x:c>
      <x:c r="E20" s="12" t="n">
        <x:f>Sources!I20</x:f>
        <x:v>67.6</x:v>
      </x:c>
      <x:c r="F20" s="10" t="n">
        <x:f>E20/E19-1</x:f>
        <x:v>0</x:v>
      </x:c>
      <x:c r="G20" s="10" t="n">
        <x:f>(1+D20)/(1+F20)-1</x:f>
        <x:v>0.041622944754112545</x:v>
      </x:c>
    </x:row>
    <x:row r="21">
      <x:c r="A21" s="6" t="n">
        <x:v>35064</x:v>
      </x:c>
      <x:c r="B21" t="str">
        <x:f>IF(A21&lt;=DATE(2006,5,31),"MSCI ACWI GBP Net Return",IF(A21&lt;=DATE(2024,2,29),"Solactive GBS Global Markets L&amp;M GBP NTR","PACW actual grossed up by OCF"))</x:f>
        <x:v>MSCI ACWI GBP Net Return</x:v>
      </x:c>
      <x:c r="C21" s="8" t="n">
        <x:f>MSCI_ACWI!B21</x:f>
        <x:v>26023.687478091528</x:v>
      </x:c>
      <x:c r="D21" s="10" t="n">
        <x:f>MSCI_ACWI!C21</x:f>
        <x:v>0.04482332839965797</x:v>
      </x:c>
      <x:c r="E21" s="12" t="n">
        <x:f>Sources!I21</x:f>
        <x:v>68</x:v>
      </x:c>
      <x:c r="F21" s="10" t="n">
        <x:f>E21/E20-1</x:f>
        <x:v>0.00591715976331364</x:v>
      </x:c>
      <x:c r="G21" s="10" t="n">
        <x:f>(1+D21)/(1+F21)-1</x:f>
        <x:v>0.03867730882083653</x:v>
      </x:c>
    </x:row>
    <x:row r="22">
      <x:c r="A22" s="6" t="n">
        <x:v>35095</x:v>
      </x:c>
      <x:c r="B22" t="str">
        <x:f>IF(A22&lt;=DATE(2006,5,31),"MSCI ACWI GBP Net Return",IF(A22&lt;=DATE(2024,2,29),"Solactive GBS Global Markets L&amp;M GBP NTR","PACW actual grossed up by OCF"))</x:f>
        <x:v>MSCI ACWI GBP Net Return</x:v>
      </x:c>
      <x:c r="C22" s="8" t="n">
        <x:f>MSCI_ACWI!B22</x:f>
        <x:v>26805.77237048665</x:v>
      </x:c>
      <x:c r="D22" s="10" t="n">
        <x:f>MSCI_ACWI!C22</x:f>
        <x:v>0.03005280835214208</x:v>
      </x:c>
      <x:c r="E22" s="12" t="n">
        <x:f>Sources!I22</x:f>
        <x:v>67.8</x:v>
      </x:c>
      <x:c r="F22" s="10" t="n">
        <x:f>E22/E21-1</x:f>
        <x:v>-0.002941176470588225</x:v>
      </x:c>
      <x:c r="G22" s="10" t="n">
        <x:f>(1+D22)/(1+F22)-1</x:f>
        <x:v>0.0330913122115879</x:v>
      </x:c>
    </x:row>
    <x:row r="23">
      <x:c r="A23" s="6" t="n">
        <x:v>35124</x:v>
      </x:c>
      <x:c r="B23" t="str">
        <x:f>IF(A23&lt;=DATE(2006,5,31),"MSCI ACWI GBP Net Return",IF(A23&lt;=DATE(2024,2,29),"Solactive GBS Global Markets L&amp;M GBP NTR","PACW actual grossed up by OCF"))</x:f>
        <x:v>MSCI ACWI GBP Net Return</x:v>
      </x:c>
      <x:c r="C23" s="8" t="n">
        <x:f>MSCI_ACWI!B23</x:f>
        <x:v>26791.205625</x:v>
      </x:c>
      <x:c r="D23" s="10" t="n">
        <x:f>MSCI_ACWI!C23</x:f>
        <x:v>-0.0005434182341520488</x:v>
      </x:c>
      <x:c r="E23" s="12" t="n">
        <x:f>Sources!I23</x:f>
        <x:v>68.1</x:v>
      </x:c>
      <x:c r="F23" s="10" t="n">
        <x:f>E23/E22-1</x:f>
        <x:v>0.004424778761061843</x:v>
      </x:c>
      <x:c r="G23" s="10" t="n">
        <x:f>(1+D23)/(1+F23)-1</x:f>
        <x:v>-0.004946310664838527</x:v>
      </x:c>
    </x:row>
    <x:row r="24">
      <x:c r="A24" s="6" t="n">
        <x:v>35155</x:v>
      </x:c>
      <x:c r="B24" t="str">
        <x:f>IF(A24&lt;=DATE(2006,5,31),"MSCI ACWI GBP Net Return",IF(A24&lt;=DATE(2024,2,29),"Solactive GBS Global Markets L&amp;M GBP NTR","PACW actual grossed up by OCF"))</x:f>
        <x:v>MSCI ACWI GBP Net Return</x:v>
      </x:c>
      <x:c r="C24" s="8" t="n">
        <x:f>MSCI_ACWI!B24</x:f>
        <x:v>27362.18201820444</x:v>
      </x:c>
      <x:c r="D24" s="10" t="n">
        <x:f>MSCI_ACWI!C24</x:f>
        <x:v>0.02131208282286634</x:v>
      </x:c>
      <x:c r="E24" s="12" t="n">
        <x:f>Sources!I24</x:f>
        <x:v>68.4</x:v>
      </x:c>
      <x:c r="F24" s="10" t="n">
        <x:f>E24/E23-1</x:f>
        <x:v>0.004405286343612591</x:v>
      </x:c>
      <x:c r="G24" s="10" t="n">
        <x:f>(1+D24)/(1+F24)-1</x:f>
        <x:v>0.01683264386311656</x:v>
      </x:c>
    </x:row>
    <x:row r="25">
      <x:c r="A25" s="6" t="n">
        <x:v>35185</x:v>
      </x:c>
      <x:c r="B25" t="str">
        <x:f>IF(A25&lt;=DATE(2006,5,31),"MSCI ACWI GBP Net Return",IF(A25&lt;=DATE(2024,2,29),"Solactive GBS Global Markets L&amp;M GBP NTR","PACW actual grossed up by OCF"))</x:f>
        <x:v>MSCI ACWI GBP Net Return</x:v>
      </x:c>
      <x:c r="C25" s="8" t="n">
        <x:f>MSCI_ACWI!B25</x:f>
        <x:v>28235.538047493403</x:v>
      </x:c>
      <x:c r="D25" s="10" t="n">
        <x:f>MSCI_ACWI!C25</x:f>
        <x:v>0.03191836194598463</x:v>
      </x:c>
      <x:c r="E25" s="12" t="n">
        <x:f>Sources!I25</x:f>
        <x:v>68.7</x:v>
      </x:c>
      <x:c r="F25" s="10" t="n">
        <x:f>E25/E24-1</x:f>
        <x:v>0.004385964912280604</x:v>
      </x:c>
      <x:c r="G25" s="10" t="n">
        <x:f>(1+D25)/(1+F25)-1</x:f>
        <x:v>0.027412168225696698</x:v>
      </x:c>
    </x:row>
    <x:row r="26">
      <x:c r="A26" s="6" t="n">
        <x:v>35216</x:v>
      </x:c>
      <x:c r="B26" t="str">
        <x:f>IF(A26&lt;=DATE(2006,5,31),"MSCI ACWI GBP Net Return",IF(A26&lt;=DATE(2024,2,29),"Solactive GBS Global Markets L&amp;M GBP NTR","PACW actual grossed up by OCF"))</x:f>
        <x:v>MSCI ACWI GBP Net Return</x:v>
      </x:c>
      <x:c r="C26" s="8" t="n">
        <x:f>MSCI_ACWI!B26</x:f>
        <x:v>28279.654593453004</x:v>
      </x:c>
      <x:c r="D26" s="10" t="n">
        <x:f>MSCI_ACWI!C26</x:f>
        <x:v>0.0015624475044673236</x:v>
      </x:c>
      <x:c r="E26" s="12" t="n">
        <x:f>Sources!I26</x:f>
        <x:v>68.9</x:v>
      </x:c>
      <x:c r="F26" s="10" t="n">
        <x:f>E26/E25-1</x:f>
        <x:v>0.0029112081513829047</x:v>
      </x:c>
      <x:c r="G26" s="10" t="n">
        <x:f>(1+D26)/(1+F26)-1</x:f>
        <x:v>-0.001344845521670579</x:v>
      </x:c>
    </x:row>
    <x:row r="27">
      <x:c r="A27" s="6" t="n">
        <x:v>35246</x:v>
      </x:c>
      <x:c r="B27" t="str">
        <x:f>IF(A27&lt;=DATE(2006,5,31),"MSCI ACWI GBP Net Return",IF(A27&lt;=DATE(2024,2,29),"Solactive GBS Global Markets L&amp;M GBP NTR","PACW actual grossed up by OCF"))</x:f>
        <x:v>MSCI ACWI GBP Net Return</x:v>
      </x:c>
      <x:c r="C27" s="8" t="n">
        <x:f>MSCI_ACWI!B27</x:f>
        <x:v>27947.803217436423</x:v>
      </x:c>
      <x:c r="D27" s="10" t="n">
        <x:f>MSCI_ACWI!C27</x:f>
        <x:v>-0.011734633282734941</x:v>
      </x:c>
      <x:c r="E27" s="12" t="n">
        <x:f>Sources!I27</x:f>
        <x:v>69</x:v>
      </x:c>
      <x:c r="F27" s="10" t="n">
        <x:f>E27/E26-1</x:f>
        <x:v>0.0014513788098693414</x:v>
      </x:c>
      <x:c r="G27" s="10" t="n">
        <x:f>(1+D27)/(1+F27)-1</x:f>
        <x:v>-0.013166901930151242</x:v>
      </x:c>
    </x:row>
    <x:row r="28">
      <x:c r="A28" s="6" t="n">
        <x:v>35277</x:v>
      </x:c>
      <x:c r="B28" t="str">
        <x:f>IF(A28&lt;=DATE(2006,5,31),"MSCI ACWI GBP Net Return",IF(A28&lt;=DATE(2024,2,29),"Solactive GBS Global Markets L&amp;M GBP NTR","PACW actual grossed up by OCF"))</x:f>
        <x:v>MSCI ACWI GBP Net Return</x:v>
      </x:c>
      <x:c r="C28" s="8" t="n">
        <x:f>MSCI_ACWI!B28</x:f>
        <x:v>26706.485717965224</x:v>
      </x:c>
      <x:c r="D28" s="10" t="n">
        <x:f>MSCI_ACWI!C28</x:f>
        <x:v>-0.044415566039793464</x:v>
      </x:c>
      <x:c r="E28" s="12" t="n">
        <x:f>Sources!I28</x:f>
        <x:v>68.6</x:v>
      </x:c>
      <x:c r="F28" s="10" t="n">
        <x:f>E28/E27-1</x:f>
        <x:v>-0.005797101449275477</x:v>
      </x:c>
      <x:c r="G28" s="10" t="n">
        <x:f>(1+D28)/(1+F28)-1</x:f>
        <x:v>-0.038843645142066174</x:v>
      </x:c>
    </x:row>
    <x:row r="29">
      <x:c r="A29" s="6" t="n">
        <x:v>35308</x:v>
      </x:c>
      <x:c r="B29" t="str">
        <x:f>IF(A29&lt;=DATE(2006,5,31),"MSCI ACWI GBP Net Return",IF(A29&lt;=DATE(2024,2,29),"Solactive GBS Global Markets L&amp;M GBP NTR","PACW actual grossed up by OCF"))</x:f>
        <x:v>MSCI ACWI GBP Net Return</x:v>
      </x:c>
      <x:c r="C29" s="8" t="n">
        <x:f>MSCI_ACWI!B29</x:f>
        <x:v>27089.933337634684</x:v>
      </x:c>
      <x:c r="D29" s="10" t="n">
        <x:f>MSCI_ACWI!C29</x:f>
        <x:v>0.014357846394275509</x:v>
      </x:c>
      <x:c r="E29" s="12" t="n">
        <x:f>Sources!I29</x:f>
        <x:v>68.9</x:v>
      </x:c>
      <x:c r="F29" s="10" t="n">
        <x:f>E29/E28-1</x:f>
        <x:v>0.004373177842565745</x:v>
      </x:c>
      <x:c r="G29" s="10" t="n">
        <x:f>(1+D29)/(1+F29)-1</x:f>
        <x:v>0.009941193942631266</x:v>
      </x:c>
    </x:row>
    <x:row r="30">
      <x:c r="A30" s="6" t="n">
        <x:v>35338</x:v>
      </x:c>
      <x:c r="B30" t="str">
        <x:f>IF(A30&lt;=DATE(2006,5,31),"MSCI ACWI GBP Net Return",IF(A30&lt;=DATE(2024,2,29),"Solactive GBS Global Markets L&amp;M GBP NTR","PACW actual grossed up by OCF"))</x:f>
        <x:v>MSCI ACWI GBP Net Return</x:v>
      </x:c>
      <x:c r="C30" s="8" t="n">
        <x:f>MSCI_ACWI!B30</x:f>
        <x:v>27920.954479574164</x:v>
      </x:c>
      <x:c r="D30" s="10" t="n">
        <x:f>MSCI_ACWI!C30</x:f>
        <x:v>0.030676381945354825</x:v>
      </x:c>
      <x:c r="E30" s="12" t="n">
        <x:f>Sources!I30</x:f>
        <x:v>69.3</x:v>
      </x:c>
      <x:c r="F30" s="10" t="n">
        <x:f>E30/E29-1</x:f>
        <x:v>0.005805515239477366</x:v>
      </x:c>
      <x:c r="G30" s="10" t="n">
        <x:f>(1+D30)/(1+F30)-1</x:f>
        <x:v>0.02472731191969646</x:v>
      </x:c>
    </x:row>
    <x:row r="31">
      <x:c r="A31" s="6" t="n">
        <x:v>35369</x:v>
      </x:c>
      <x:c r="B31" t="str">
        <x:f>IF(A31&lt;=DATE(2006,5,31),"MSCI ACWI GBP Net Return",IF(A31&lt;=DATE(2024,2,29),"Solactive GBS Global Markets L&amp;M GBP NTR","PACW actual grossed up by OCF"))</x:f>
        <x:v>MSCI ACWI GBP Net Return</x:v>
      </x:c>
      <x:c r="C31" s="8" t="n">
        <x:f>MSCI_ACWI!B31</x:f>
        <x:v>27555.47253356868</x:v>
      </x:c>
      <x:c r="D31" s="10" t="n">
        <x:f>MSCI_ACWI!C31</x:f>
        <x:v>-0.01308988008532641</x:v>
      </x:c>
      <x:c r="E31" s="12" t="n">
        <x:f>Sources!I31</x:f>
        <x:v>69.3</x:v>
      </x:c>
      <x:c r="F31" s="10" t="n">
        <x:f>E31/E30-1</x:f>
        <x:v>0</x:v>
      </x:c>
      <x:c r="G31" s="10" t="n">
        <x:f>(1+D31)/(1+F31)-1</x:f>
        <x:v>-0.01308988008532641</x:v>
      </x:c>
    </x:row>
    <x:row r="32">
      <x:c r="A32" s="6" t="n">
        <x:v>35399</x:v>
      </x:c>
      <x:c r="B32" t="str">
        <x:f>IF(A32&lt;=DATE(2006,5,31),"MSCI ACWI GBP Net Return",IF(A32&lt;=DATE(2024,2,29),"Solactive GBS Global Markets L&amp;M GBP NTR","PACW actual grossed up by OCF"))</x:f>
        <x:v>MSCI ACWI GBP Net Return</x:v>
      </x:c>
      <x:c r="C32" s="8" t="n">
        <x:f>MSCI_ACWI!B32</x:f>
        <x:v>27701.4297780184</x:v>
      </x:c>
      <x:c r="D32" s="10" t="n">
        <x:f>MSCI_ACWI!C32</x:f>
        <x:v>0.005296851442917916</x:v>
      </x:c>
      <x:c r="E32" s="12" t="n">
        <x:f>Sources!I32</x:f>
        <x:v>69.3</x:v>
      </x:c>
      <x:c r="F32" s="10" t="n">
        <x:f>E32/E31-1</x:f>
        <x:v>0</x:v>
      </x:c>
      <x:c r="G32" s="10" t="n">
        <x:f>(1+D32)/(1+F32)-1</x:f>
        <x:v>0.005296851442917916</x:v>
      </x:c>
    </x:row>
    <x:row r="33">
      <x:c r="A33" s="6" t="n">
        <x:v>35430</x:v>
      </x:c>
      <x:c r="B33" t="str">
        <x:f>IF(A33&lt;=DATE(2006,5,31),"MSCI ACWI GBP Net Return",IF(A33&lt;=DATE(2024,2,29),"Solactive GBS Global Markets L&amp;M GBP NTR","PACW actual grossed up by OCF"))</x:f>
        <x:v>MSCI ACWI GBP Net Return</x:v>
      </x:c>
      <x:c r="C33" s="8" t="n">
        <x:f>MSCI_ACWI!B33</x:f>
        <x:v>27273.94877095979</x:v>
      </x:c>
      <x:c r="D33" s="10" t="n">
        <x:f>MSCI_ACWI!C33</x:f>
        <x:v>-0.015431730798163512</x:v>
      </x:c>
      <x:c r="E33" s="12" t="n">
        <x:f>Sources!I33</x:f>
        <x:v>69.5</x:v>
      </x:c>
      <x:c r="F33" s="10" t="n">
        <x:f>E33/E32-1</x:f>
        <x:v>0.0028860028860029363</x:v>
      </x:c>
      <x:c r="G33" s="10" t="n">
        <x:f>(1+D33)/(1+F33)-1</x:f>
        <x:v>-0.01826502078147818</x:v>
      </x:c>
    </x:row>
    <x:row r="34">
      <x:c r="A34" s="6" t="n">
        <x:v>35461</x:v>
      </x:c>
      <x:c r="B34" t="str">
        <x:f>IF(A34&lt;=DATE(2006,5,31),"MSCI ACWI GBP Net Return",IF(A34&lt;=DATE(2024,2,29),"Solactive GBS Global Markets L&amp;M GBP NTR","PACW actual grossed up by OCF"))</x:f>
        <x:v>MSCI ACWI GBP Net Return</x:v>
      </x:c>
      <x:c r="C34" s="8" t="n">
        <x:f>MSCI_ACWI!B34</x:f>
        <x:v>27821.798492613805</x:v>
      </x:c>
      <x:c r="D34" s="10" t="n">
        <x:f>MSCI_ACWI!C34</x:f>
        <x:v>0.020086923468791706</x:v>
      </x:c>
      <x:c r="E34" s="12" t="n">
        <x:f>Sources!I34</x:f>
        <x:v>69.2</x:v>
      </x:c>
      <x:c r="F34" s="10" t="n">
        <x:f>E34/E33-1</x:f>
        <x:v>-0.004316546762589857</x:v>
      </x:c>
      <x:c r="G34" s="10" t="n">
        <x:f>(1+D34)/(1+F34)-1</x:f>
        <x:v>0.024509265622558063</x:v>
      </x:c>
    </x:row>
    <x:row r="35">
      <x:c r="A35" s="6" t="n">
        <x:v>35489</x:v>
      </x:c>
      <x:c r="B35" t="str">
        <x:f>IF(A35&lt;=DATE(2006,5,31),"MSCI ACWI GBP Net Return",IF(A35&lt;=DATE(2024,2,29),"Solactive GBS Global Markets L&amp;M GBP NTR","PACW actual grossed up by OCF"))</x:f>
        <x:v>MSCI ACWI GBP Net Return</x:v>
      </x:c>
      <x:c r="C35" s="8" t="n">
        <x:f>MSCI_ACWI!B35</x:f>
        <x:v>28771.875</x:v>
      </x:c>
      <x:c r="D35" s="10" t="n">
        <x:f>MSCI_ACWI!C35</x:f>
        <x:v>0.0341486373585238</x:v>
      </x:c>
      <x:c r="E35" s="12" t="n">
        <x:f>Sources!I35</x:f>
        <x:v>69.4</x:v>
      </x:c>
      <x:c r="F35" s="10" t="n">
        <x:f>E35/E34-1</x:f>
        <x:v>0.0028901734104047616</x:v>
      </x:c>
      <x:c r="G35" s="10" t="n">
        <x:f>(1+D35)/(1+F35)-1</x:f>
        <x:v>0.03116838191945015</x:v>
      </x:c>
    </x:row>
    <x:row r="36">
      <x:c r="A36" s="6" t="n">
        <x:v>35520</x:v>
      </x:c>
      <x:c r="B36" t="str">
        <x:f>IF(A36&lt;=DATE(2006,5,31),"MSCI ACWI GBP Net Return",IF(A36&lt;=DATE(2024,2,29),"Solactive GBS Global Markets L&amp;M GBP NTR","PACW actual grossed up by OCF"))</x:f>
        <x:v>MSCI ACWI GBP Net Return</x:v>
      </x:c>
      <x:c r="C36" s="8" t="n">
        <x:f>MSCI_ACWI!B36</x:f>
        <x:v>28476.606560636174</x:v>
      </x:c>
      <x:c r="D36" s="10" t="n">
        <x:f>MSCI_ACWI!C36</x:f>
        <x:v>-0.010262398240080906</x:v>
      </x:c>
      <x:c r="E36" s="12" t="n">
        <x:f>Sources!I36</x:f>
        <x:v>69.5</x:v>
      </x:c>
      <x:c r="F36" s="10" t="n">
        <x:f>E36/E35-1</x:f>
        <x:v>0.0014409221902016434</x:v>
      </x:c>
      <x:c r="G36" s="10" t="n">
        <x:f>(1+D36)/(1+F36)-1</x:f>
        <x:v>-0.011686481120310899</x:v>
      </x:c>
    </x:row>
    <x:row r="37">
      <x:c r="A37" s="6" t="n">
        <x:v>35550</x:v>
      </x:c>
      <x:c r="B37" t="str">
        <x:f>IF(A37&lt;=DATE(2006,5,31),"MSCI ACWI GBP Net Return",IF(A37&lt;=DATE(2024,2,29),"Solactive GBS Global Markets L&amp;M GBP NTR","PACW actual grossed up by OCF"))</x:f>
        <x:v>MSCI ACWI GBP Net Return</x:v>
      </x:c>
      <x:c r="C37" s="8" t="n">
        <x:f>MSCI_ACWI!B37</x:f>
        <x:v>29035.86197753637</x:v>
      </x:c>
      <x:c r="D37" s="10" t="n">
        <x:f>MSCI_ACWI!C37</x:f>
        <x:v>0.019639117312287624</x:v>
      </x:c>
      <x:c r="E37" s="12" t="n">
        <x:f>Sources!I37</x:f>
        <x:v>69.8</x:v>
      </x:c>
      <x:c r="F37" s="10" t="n">
        <x:f>E37/E36-1</x:f>
        <x:v>0.004316546762589857</x:v>
      </x:c>
      <x:c r="G37" s="10" t="n">
        <x:f>(1+D37)/(1+F37)-1</x:f>
        <x:v>0.015256714229283652</x:v>
      </x:c>
    </x:row>
    <x:row r="38">
      <x:c r="A38" s="6" t="n">
        <x:v>35581</x:v>
      </x:c>
      <x:c r="B38" t="str">
        <x:f>IF(A38&lt;=DATE(2006,5,31),"MSCI ACWI GBP Net Return",IF(A38&lt;=DATE(2024,2,29),"Solactive GBS Global Markets L&amp;M GBP NTR","PACW actual grossed up by OCF"))</x:f>
        <x:v>MSCI ACWI GBP Net Return</x:v>
      </x:c>
      <x:c r="C38" s="8" t="n">
        <x:f>MSCI_ACWI!B38</x:f>
        <x:v>30713.688714618303</x:v>
      </x:c>
      <x:c r="D38" s="10" t="n">
        <x:f>MSCI_ACWI!C38</x:f>
        <x:v>0.05778463674954737</x:v>
      </x:c>
      <x:c r="E38" s="12" t="n">
        <x:f>Sources!I38</x:f>
        <x:v>70</x:v>
      </x:c>
      <x:c r="F38" s="10" t="n">
        <x:f>E38/E37-1</x:f>
        <x:v>0.002865329512893977</x:v>
      </x:c>
      <x:c r="G38" s="10" t="n">
        <x:f>(1+D38)/(1+F38)-1</x:f>
        <x:v>0.054762394930262914</x:v>
      </x:c>
    </x:row>
    <x:row r="39">
      <x:c r="A39" s="6" t="n">
        <x:v>35611</x:v>
      </x:c>
      <x:c r="B39" t="str">
        <x:f>IF(A39&lt;=DATE(2006,5,31),"MSCI ACWI GBP Net Return",IF(A39&lt;=DATE(2024,2,29),"Solactive GBS Global Markets L&amp;M GBP NTR","PACW actual grossed up by OCF"))</x:f>
        <x:v>MSCI ACWI GBP Net Return</x:v>
      </x:c>
      <x:c r="C39" s="8" t="n">
        <x:f>MSCI_ACWI!B39</x:f>
        <x:v>32036.07543315703</x:v>
      </x:c>
      <x:c r="D39" s="10" t="n">
        <x:f>MSCI_ACWI!C39</x:f>
        <x:v>0.04305528817544246</x:v>
      </x:c>
      <x:c r="E39" s="12" t="n">
        <x:f>Sources!I39</x:f>
        <x:v>70.2</x:v>
      </x:c>
      <x:c r="F39" s="10" t="n">
        <x:f>E39/E38-1</x:f>
        <x:v>0.0028571428571428914</x:v>
      </x:c>
      <x:c r="G39" s="10" t="n">
        <x:f>(1+D39)/(1+F39)-1</x:f>
        <x:v>0.040083620687763055</x:v>
      </x:c>
    </x:row>
    <x:row r="40">
      <x:c r="A40" s="6" t="n">
        <x:v>35642</x:v>
      </x:c>
      <x:c r="B40" t="str">
        <x:f>IF(A40&lt;=DATE(2006,5,31),"MSCI ACWI GBP Net Return",IF(A40&lt;=DATE(2024,2,29),"Solactive GBS Global Markets L&amp;M GBP NTR","PACW actual grossed up by OCF"))</x:f>
        <x:v>MSCI ACWI GBP Net Return</x:v>
      </x:c>
      <x:c r="C40" s="8" t="n">
        <x:f>MSCI_ACWI!B40</x:f>
        <x:v>32993.22151671258</x:v>
      </x:c>
      <x:c r="D40" s="10" t="n">
        <x:f>MSCI_ACWI!C40</x:f>
        <x:v>0.02987713290763816</x:v>
      </x:c>
      <x:c r="E40" s="12" t="n">
        <x:f>Sources!I40</x:f>
        <x:v>69.9</x:v>
      </x:c>
      <x:c r="F40" s="10" t="n">
        <x:f>E40/E39-1</x:f>
        <x:v>-0.004273504273504258</x:v>
      </x:c>
      <x:c r="G40" s="10" t="n">
        <x:f>(1+D40)/(1+F40)-1</x:f>
        <x:v>0.03429720643943068</x:v>
      </x:c>
    </x:row>
    <x:row r="41">
      <x:c r="A41" s="6" t="n">
        <x:v>35673</x:v>
      </x:c>
      <x:c r="B41" t="str">
        <x:f>IF(A41&lt;=DATE(2006,5,31),"MSCI ACWI GBP Net Return",IF(A41&lt;=DATE(2024,2,29),"Solactive GBS Global Markets L&amp;M GBP NTR","PACW actual grossed up by OCF"))</x:f>
        <x:v>MSCI ACWI GBP Net Return</x:v>
      </x:c>
      <x:c r="C41" s="8" t="n">
        <x:f>MSCI_ACWI!B41</x:f>
        <x:v>31939.16228250702</x:v>
      </x:c>
      <x:c r="D41" s="10" t="n">
        <x:f>MSCI_ACWI!C41</x:f>
        <x:v>-0.0319477512576829</x:v>
      </x:c>
      <x:c r="E41" s="12" t="n">
        <x:f>Sources!I41</x:f>
        <x:v>70.3</x:v>
      </x:c>
      <x:c r="F41" s="10" t="n">
        <x:f>E41/E40-1</x:f>
        <x:v>0.005722460658082795</x:v>
      </x:c>
      <x:c r="G41" s="10" t="n">
        <x:f>(1+D41)/(1+F41)-1</x:f>
        <x:v>-0.03745587216091073</x:v>
      </x:c>
    </x:row>
    <x:row r="42">
      <x:c r="A42" s="6" t="n">
        <x:v>35703</x:v>
      </x:c>
      <x:c r="B42" t="str">
        <x:f>IF(A42&lt;=DATE(2006,5,31),"MSCI ACWI GBP Net Return",IF(A42&lt;=DATE(2024,2,29),"Solactive GBS Global Markets L&amp;M GBP NTR","PACW actual grossed up by OCF"))</x:f>
        <x:v>MSCI ACWI GBP Net Return</x:v>
      </x:c>
      <x:c r="C42" s="8" t="n">
        <x:f>MSCI_ACWI!B42</x:f>
        <x:v>33688.72760881783</x:v>
      </x:c>
      <x:c r="D42" s="10" t="n">
        <x:f>MSCI_ACWI!C42</x:f>
        <x:v>0.05477805932527691</x:v>
      </x:c>
      <x:c r="E42" s="12" t="n">
        <x:f>Sources!I42</x:f>
        <x:v>70.6</x:v>
      </x:c>
      <x:c r="F42" s="10" t="n">
        <x:f>E42/E41-1</x:f>
        <x:v>0.00426742532005675</x:v>
      </x:c>
      <x:c r="G42" s="10" t="n">
        <x:f>(1+D42)/(1+F42)-1</x:f>
        <x:v>0.0502959995831016</x:v>
      </x:c>
    </x:row>
    <x:row r="43">
      <x:c r="A43" s="6" t="n">
        <x:v>35734</x:v>
      </x:c>
      <x:c r="B43" t="str">
        <x:f>IF(A43&lt;=DATE(2006,5,31),"MSCI ACWI GBP Net Return",IF(A43&lt;=DATE(2024,2,29),"Solactive GBS Global Markets L&amp;M GBP NTR","PACW actual grossed up by OCF"))</x:f>
        <x:v>MSCI ACWI GBP Net Return</x:v>
      </x:c>
      <x:c r="C43" s="8" t="n">
        <x:f>MSCI_ACWI!B43</x:f>
        <x:v>31067.761910594</x:v>
      </x:c>
      <x:c r="D43" s="10" t="n">
        <x:f>MSCI_ACWI!C43</x:f>
        <x:v>-0.07779948618593158</x:v>
      </x:c>
      <x:c r="E43" s="12" t="n">
        <x:f>Sources!I43</x:f>
        <x:v>70.6</x:v>
      </x:c>
      <x:c r="F43" s="10" t="n">
        <x:f>E43/E42-1</x:f>
        <x:v>0</x:v>
      </x:c>
      <x:c r="G43" s="10" t="n">
        <x:f>(1+D43)/(1+F43)-1</x:f>
        <x:v>-0.07779948618593158</x:v>
      </x:c>
    </x:row>
    <x:row r="44">
      <x:c r="A44" s="6" t="n">
        <x:v>35764</x:v>
      </x:c>
      <x:c r="B44" t="str">
        <x:f>IF(A44&lt;=DATE(2006,5,31),"MSCI ACWI GBP Net Return",IF(A44&lt;=DATE(2024,2,29),"Solactive GBS Global Markets L&amp;M GBP NTR","PACW actual grossed up by OCF"))</x:f>
        <x:v>MSCI ACWI GBP Net Return</x:v>
      </x:c>
      <x:c r="C44" s="8" t="n">
        <x:f>MSCI_ACWI!B44</x:f>
        <x:v>30499.021801172355</x:v>
      </x:c>
      <x:c r="D44" s="10" t="n">
        <x:f>MSCI_ACWI!C44</x:f>
        <x:v>-0.018306439680410458</x:v>
      </x:c>
      <x:c r="E44" s="12" t="n">
        <x:f>Sources!I44</x:f>
        <x:v>70.6</x:v>
      </x:c>
      <x:c r="F44" s="10" t="n">
        <x:f>E44/E43-1</x:f>
        <x:v>0</x:v>
      </x:c>
      <x:c r="G44" s="10" t="n">
        <x:f>(1+D44)/(1+F44)-1</x:f>
        <x:v>-0.018306439680410458</x:v>
      </x:c>
    </x:row>
    <x:row r="45">
      <x:c r="A45" s="6" t="n">
        <x:v>35795</x:v>
      </x:c>
      <x:c r="B45" t="str">
        <x:f>IF(A45&lt;=DATE(2006,5,31),"MSCI ACWI GBP Net Return",IF(A45&lt;=DATE(2024,2,29),"Solactive GBS Global Markets L&amp;M GBP NTR","PACW actual grossed up by OCF"))</x:f>
        <x:v>MSCI ACWI GBP Net Return</x:v>
      </x:c>
      <x:c r="C45" s="8" t="n">
        <x:f>MSCI_ACWI!B45</x:f>
        <x:v>31443.08499126348</x:v>
      </x:c>
      <x:c r="D45" s="10" t="n">
        <x:f>MSCI_ACWI!C45</x:f>
        <x:v>0.0309538842342425</x:v>
      </x:c>
      <x:c r="E45" s="12" t="n">
        <x:f>Sources!I45</x:f>
        <x:v>70.7</x:v>
      </x:c>
      <x:c r="F45" s="10" t="n">
        <x:f>E45/E44-1</x:f>
        <x:v>0.0014164305949009304</x:v>
      </x:c>
      <x:c r="G45" s="10" t="n">
        <x:f>(1+D45)/(1+F45)-1</x:f>
        <x:v>0.029495675062765514</x:v>
      </x:c>
    </x:row>
    <x:row r="46">
      <x:c r="A46" s="6" t="n">
        <x:v>35826</x:v>
      </x:c>
      <x:c r="B46" t="str">
        <x:f>IF(A46&lt;=DATE(2006,5,31),"MSCI ACWI GBP Net Return",IF(A46&lt;=DATE(2024,2,29),"Solactive GBS Global Markets L&amp;M GBP NTR","PACW actual grossed up by OCF"))</x:f>
        <x:v>MSCI ACWI GBP Net Return</x:v>
      </x:c>
      <x:c r="C46" s="8" t="n">
        <x:f>MSCI_ACWI!B46</x:f>
        <x:v>32620.758605504576</x:v>
      </x:c>
      <x:c r="D46" s="10" t="n">
        <x:f>MSCI_ACWI!C46</x:f>
        <x:v>0.03745413704057077</x:v>
      </x:c>
      <x:c r="E46" s="12" t="n">
        <x:f>Sources!I46</x:f>
        <x:v>70.3</x:v>
      </x:c>
      <x:c r="F46" s="10" t="n">
        <x:f>E46/E45-1</x:f>
        <x:v>-0.005657708628005742</x:v>
      </x:c>
      <x:c r="G46" s="10" t="n">
        <x:f>(1+D46)/(1+F46)-1</x:f>
        <x:v>0.04335714777764377</x:v>
      </x:c>
    </x:row>
    <x:row r="47">
      <x:c r="A47" s="6" t="n">
        <x:v>35854</x:v>
      </x:c>
      <x:c r="B47" t="str">
        <x:f>IF(A47&lt;=DATE(2006,5,31),"MSCI ACWI GBP Net Return",IF(A47&lt;=DATE(2024,2,29),"Solactive GBS Global Markets L&amp;M GBP NTR","PACW actual grossed up by OCF"))</x:f>
        <x:v>MSCI ACWI GBP Net Return</x:v>
      </x:c>
      <x:c r="C47" s="8" t="n">
        <x:f>MSCI_ACWI!B47</x:f>
        <x:v>34729.143832276925</x:v>
      </x:c>
      <x:c r="D47" s="10" t="n">
        <x:f>MSCI_ACWI!C47</x:f>
        <x:v>0.06463323714417135</x:v>
      </x:c>
      <x:c r="E47" s="12" t="n">
        <x:f>Sources!I47</x:f>
        <x:v>70.5</x:v>
      </x:c>
      <x:c r="F47" s="10" t="n">
        <x:f>E47/E46-1</x:f>
        <x:v>0.002844950213371389</x:v>
      </x:c>
      <x:c r="G47" s="10" t="n">
        <x:f>(1+D47)/(1+F47)-1</x:f>
        <x:v>0.06161300101042899</x:v>
      </x:c>
    </x:row>
    <x:row r="48">
      <x:c r="A48" s="6" t="n">
        <x:v>35885</x:v>
      </x:c>
      <x:c r="B48" t="str">
        <x:f>IF(A48&lt;=DATE(2006,5,31),"MSCI ACWI GBP Net Return",IF(A48&lt;=DATE(2024,2,29),"Solactive GBS Global Markets L&amp;M GBP NTR","PACW actual grossed up by OCF"))</x:f>
        <x:v>MSCI ACWI GBP Net Return</x:v>
      </x:c>
      <x:c r="C48" s="8" t="n">
        <x:f>MSCI_ACWI!B48</x:f>
        <x:v>35751.22979722005</x:v>
      </x:c>
      <x:c r="D48" s="10" t="n">
        <x:f>MSCI_ACWI!C48</x:f>
        <x:v>0.0294302091027423</x:v>
      </x:c>
      <x:c r="E48" s="12" t="n">
        <x:f>Sources!I48</x:f>
        <x:v>70.7</x:v>
      </x:c>
      <x:c r="F48" s="10" t="n">
        <x:f>E48/E47-1</x:f>
        <x:v>0.0028368794326241176</x:v>
      </x:c>
      <x:c r="G48" s="10" t="n">
        <x:f>(1+D48)/(1+F48)-1</x:f>
        <x:v>0.026518101014757267</x:v>
      </x:c>
    </x:row>
    <x:row r="49">
      <x:c r="A49" s="6" t="n">
        <x:v>35915</x:v>
      </x:c>
      <x:c r="B49" t="str">
        <x:f>IF(A49&lt;=DATE(2006,5,31),"MSCI ACWI GBP Net Return",IF(A49&lt;=DATE(2024,2,29),"Solactive GBS Global Markets L&amp;M GBP NTR","PACW actual grossed up by OCF"))</x:f>
        <x:v>MSCI ACWI GBP Net Return</x:v>
      </x:c>
      <x:c r="C49" s="8" t="n">
        <x:f>MSCI_ACWI!B49</x:f>
        <x:v>35861.889852299224</x:v>
      </x:c>
      <x:c r="D49" s="10" t="n">
        <x:f>MSCI_ACWI!C49</x:f>
        <x:v>0.003095279678680729</x:v>
      </x:c>
      <x:c r="E49" s="12" t="n">
        <x:f>Sources!I49</x:f>
        <x:v>71.1</x:v>
      </x:c>
      <x:c r="F49" s="10" t="n">
        <x:f>E49/E48-1</x:f>
        <x:v>0.005657708628005631</x:v>
      </x:c>
      <x:c r="G49" s="10" t="n">
        <x:f>(1+D49)/(1+F49)-1</x:f>
        <x:v>-0.0025480130339982088</x:v>
      </x:c>
    </x:row>
    <x:row r="50">
      <x:c r="A50" s="6" t="n">
        <x:v>35946</x:v>
      </x:c>
      <x:c r="B50" t="str">
        <x:f>IF(A50&lt;=DATE(2006,5,31),"MSCI ACWI GBP Net Return",IF(A50&lt;=DATE(2024,2,29),"Solactive GBS Global Markets L&amp;M GBP NTR","PACW actual grossed up by OCF"))</x:f>
        <x:v>MSCI ACWI GBP Net Return</x:v>
      </x:c>
      <x:c r="C50" s="8" t="n">
        <x:f>MSCI_ACWI!B50</x:f>
        <x:v>35913.7828348187</x:v>
      </x:c>
      <x:c r="D50" s="10" t="n">
        <x:f>MSCI_ACWI!C50</x:f>
        <x:v>0.00144702308587763</x:v>
      </x:c>
      <x:c r="E50" s="12" t="n">
        <x:f>Sources!I50</x:f>
        <x:v>71.4</x:v>
      </x:c>
      <x:c r="F50" s="10" t="n">
        <x:f>E50/E49-1</x:f>
        <x:v>0.0042194092827005925</x:v>
      </x:c>
      <x:c r="G50" s="10" t="n">
        <x:f>(1+D50)/(1+F50)-1</x:f>
        <x:v>-0.0027607375153236857</x:v>
      </x:c>
    </x:row>
    <x:row r="51">
      <x:c r="A51" s="6" t="n">
        <x:v>35976</x:v>
      </x:c>
      <x:c r="B51" t="str">
        <x:f>IF(A51&lt;=DATE(2006,5,31),"MSCI ACWI GBP Net Return",IF(A51&lt;=DATE(2024,2,29),"Solactive GBS Global Markets L&amp;M GBP NTR","PACW actual grossed up by OCF"))</x:f>
        <x:v>MSCI ACWI GBP Net Return</x:v>
      </x:c>
      <x:c r="C51" s="8" t="n">
        <x:f>MSCI_ACWI!B51</x:f>
        <x:v>36290.554726127</x:v>
      </x:c>
      <x:c r="D51" s="10" t="n">
        <x:f>MSCI_ACWI!C51</x:f>
        <x:v>0.010491011014941432</x:v>
      </x:c>
      <x:c r="E51" s="12" t="n">
        <x:f>Sources!I51</x:f>
        <x:v>71.3</x:v>
      </x:c>
      <x:c r="F51" s="10" t="n">
        <x:f>E51/E50-1</x:f>
        <x:v>-0.001400560224089742</x:v>
      </x:c>
      <x:c r="G51" s="10" t="n">
        <x:f>(1+D51)/(1+F51)-1</x:f>
        <x:v>0.011908249459562814</x:v>
      </x:c>
    </x:row>
    <x:row r="52">
      <x:c r="A52" s="6" t="n">
        <x:v>36007</x:v>
      </x:c>
      <x:c r="B52" t="str">
        <x:f>IF(A52&lt;=DATE(2006,5,31),"MSCI ACWI GBP Net Return",IF(A52&lt;=DATE(2024,2,29),"Solactive GBS Global Markets L&amp;M GBP NTR","PACW actual grossed up by OCF"))</x:f>
        <x:v>MSCI ACWI GBP Net Return</x:v>
      </x:c>
      <x:c r="C52" s="8" t="n">
        <x:f>MSCI_ACWI!B52</x:f>
        <x:v>36450.38612885564</x:v>
      </x:c>
      <x:c r="D52" s="10" t="n">
        <x:f>MSCI_ACWI!C52</x:f>
        <x:v>0.004404214924099259</x:v>
      </x:c>
      <x:c r="E52" s="12" t="n">
        <x:f>Sources!I52</x:f>
        <x:v>71</x:v>
      </x:c>
      <x:c r="F52" s="10" t="n">
        <x:f>E52/E51-1</x:f>
        <x:v>-0.0042075736325385416</x:v>
      </x:c>
      <x:c r="G52" s="10" t="n">
        <x:f>(1+D52)/(1+F52)-1</x:f>
        <x:v>0.008648176395609442</x:v>
      </x:c>
    </x:row>
    <x:row r="53">
      <x:c r="A53" s="6" t="n">
        <x:v>36038</x:v>
      </x:c>
      <x:c r="B53" t="str">
        <x:f>IF(A53&lt;=DATE(2006,5,31),"MSCI ACWI GBP Net Return",IF(A53&lt;=DATE(2024,2,29),"Solactive GBS Global Markets L&amp;M GBP NTR","PACW actual grossed up by OCF"))</x:f>
        <x:v>MSCI ACWI GBP Net Return</x:v>
      </x:c>
      <x:c r="C53" s="8" t="n">
        <x:f>MSCI_ACWI!B53</x:f>
        <x:v>31525.81725614979</x:v>
      </x:c>
      <x:c r="D53" s="10" t="n">
        <x:f>MSCI_ACWI!C53</x:f>
        <x:v>-0.13510333896867455</x:v>
      </x:c>
      <x:c r="E53" s="12" t="n">
        <x:f>Sources!I53</x:f>
        <x:v>71.2</x:v>
      </x:c>
      <x:c r="F53" s="10" t="n">
        <x:f>E53/E52-1</x:f>
        <x:v>0.0028169014084507005</x:v>
      </x:c>
      <x:c r="G53" s="10" t="n">
        <x:f>(1+D53)/(1+F53)-1</x:f>
        <x:v>-0.13753282397157152</x:v>
      </x:c>
    </x:row>
    <x:row r="54">
      <x:c r="A54" s="6" t="n">
        <x:v>36068</x:v>
      </x:c>
      <x:c r="B54" t="str">
        <x:f>IF(A54&lt;=DATE(2006,5,31),"MSCI ACWI GBP Net Return",IF(A54&lt;=DATE(2024,2,29),"Solactive GBS Global Markets L&amp;M GBP NTR","PACW actual grossed up by OCF"))</x:f>
        <x:v>MSCI ACWI GBP Net Return</x:v>
      </x:c>
      <x:c r="C54" s="8" t="n">
        <x:f>MSCI_ACWI!B54</x:f>
        <x:v>31233.63851869463</x:v>
      </x:c>
      <x:c r="D54" s="10" t="n">
        <x:f>MSCI_ACWI!C54</x:f>
        <x:v>-0.009267919530243418</x:v>
      </x:c>
      <x:c r="E54" s="12" t="n">
        <x:f>Sources!I54</x:f>
        <x:v>71.5</x:v>
      </x:c>
      <x:c r="F54" s="10" t="n">
        <x:f>E54/E53-1</x:f>
        <x:v>0.004213483146067398</x:v>
      </x:c>
      <x:c r="G54" s="10" t="n">
        <x:f>(1+D54)/(1+F54)-1</x:f>
        <x:v>-0.013424837350396235</x:v>
      </x:c>
    </x:row>
    <x:row r="55">
      <x:c r="A55" s="6" t="n">
        <x:v>36099</x:v>
      </x:c>
      <x:c r="B55" t="str">
        <x:f>IF(A55&lt;=DATE(2006,5,31),"MSCI ACWI GBP Net Return",IF(A55&lt;=DATE(2024,2,29),"Solactive GBS Global Markets L&amp;M GBP NTR","PACW actual grossed up by OCF"))</x:f>
        <x:v>MSCI ACWI GBP Net Return</x:v>
      </x:c>
      <x:c r="C55" s="8" t="n">
        <x:f>MSCI_ACWI!B55</x:f>
        <x:v>33842.72974504249</x:v>
      </x:c>
      <x:c r="D55" s="10" t="n">
        <x:f>MSCI_ACWI!C55</x:f>
        <x:v>0.08353465526554671</x:v>
      </x:c>
      <x:c r="E55" s="12" t="n">
        <x:f>Sources!I55</x:f>
        <x:v>71.5</x:v>
      </x:c>
      <x:c r="F55" s="10" t="n">
        <x:f>E55/E54-1</x:f>
        <x:v>0</x:v>
      </x:c>
      <x:c r="G55" s="10" t="n">
        <x:f>(1+D55)/(1+F55)-1</x:f>
        <x:v>0.08353465526554671</x:v>
      </x:c>
    </x:row>
    <x:row r="56">
      <x:c r="A56" s="6" t="n">
        <x:v>36129</x:v>
      </x:c>
      <x:c r="B56" t="str">
        <x:f>IF(A56&lt;=DATE(2006,5,31),"MSCI ACWI GBP Net Return",IF(A56&lt;=DATE(2024,2,29),"Solactive GBS Global Markets L&amp;M GBP NTR","PACW actual grossed up by OCF"))</x:f>
        <x:v>MSCI ACWI GBP Net Return</x:v>
      </x:c>
      <x:c r="C56" s="8" t="n">
        <x:f>MSCI_ACWI!B56</x:f>
        <x:v>36616.95560772981</x:v>
      </x:c>
      <x:c r="D56" s="10" t="n">
        <x:f>MSCI_ACWI!C56</x:f>
        <x:v>0.08197405716345063</x:v>
      </x:c>
      <x:c r="E56" s="12" t="n">
        <x:f>Sources!I56</x:f>
        <x:v>71.6</x:v>
      </x:c>
      <x:c r="F56" s="10" t="n">
        <x:f>E56/E55-1</x:f>
        <x:v>0.0013986013986013734</x:v>
      </x:c>
      <x:c r="G56" s="10" t="n">
        <x:f>(1+D56)/(1+F56)-1</x:f>
        <x:v>0.080462920212105</x:v>
      </x:c>
    </x:row>
    <x:row r="57">
      <x:c r="A57" s="6" t="n">
        <x:v>36160</x:v>
      </x:c>
      <x:c r="B57" t="str">
        <x:f>IF(A57&lt;=DATE(2006,5,31),"MSCI ACWI GBP Net Return",IF(A57&lt;=DATE(2024,2,29),"Solactive GBS Global Markets L&amp;M GBP NTR","PACW actual grossed up by OCF"))</x:f>
        <x:v>MSCI ACWI GBP Net Return</x:v>
      </x:c>
      <x:c r="C57" s="8" t="n">
        <x:f>MSCI_ACWI!B57</x:f>
        <x:v>38095.0379698348</x:v>
      </x:c>
      <x:c r="D57" s="10" t="n">
        <x:f>MSCI_ACWI!C57</x:f>
        <x:v>0.040366063687527376</x:v>
      </x:c>
      <x:c r="E57" s="12" t="n">
        <x:f>Sources!I57</x:f>
        <x:v>71.8</x:v>
      </x:c>
      <x:c r="F57" s="10" t="n">
        <x:f>E57/E56-1</x:f>
        <x:v>0.0027932960893854997</x:v>
      </x:c>
      <x:c r="G57" s="10" t="n">
        <x:f>(1+D57)/(1+F57)-1</x:f>
        <x:v>0.037468108078369866</x:v>
      </x:c>
    </x:row>
    <x:row r="58">
      <x:c r="A58" s="6" t="n">
        <x:v>36191</x:v>
      </x:c>
      <x:c r="B58" t="str">
        <x:f>IF(A58&lt;=DATE(2006,5,31),"MSCI ACWI GBP Net Return",IF(A58&lt;=DATE(2024,2,29),"Solactive GBS Global Markets L&amp;M GBP NTR","PACW actual grossed up by OCF"))</x:f>
        <x:v>MSCI ACWI GBP Net Return</x:v>
      </x:c>
      <x:c r="C58" s="8" t="n">
        <x:f>MSCI_ACWI!B58</x:f>
        <x:v>39009.18234741276</x:v>
      </x:c>
      <x:c r="D58" s="10" t="n">
        <x:f>MSCI_ACWI!C58</x:f>
        <x:v>0.02399641597159774</x:v>
      </x:c>
      <x:c r="E58" s="12" t="n">
        <x:f>Sources!I58</x:f>
        <x:v>71.4</x:v>
      </x:c>
      <x:c r="F58" s="10" t="n">
        <x:f>E58/E57-1</x:f>
        <x:v>-0.0055710306406684396</x:v>
      </x:c>
      <x:c r="G58" s="10" t="n">
        <x:f>(1+D58)/(1+F58)-1</x:f>
        <x:v>0.029733090570878362</x:v>
      </x:c>
    </x:row>
    <x:row r="59">
      <x:c r="A59" s="6" t="n">
        <x:v>36219</x:v>
      </x:c>
      <x:c r="B59" t="str">
        <x:f>IF(A59&lt;=DATE(2006,5,31),"MSCI ACWI GBP Net Return",IF(A59&lt;=DATE(2024,2,29),"Solactive GBS Global Markets L&amp;M GBP NTR","PACW actual grossed up by OCF"))</x:f>
        <x:v>MSCI ACWI GBP Net Return</x:v>
      </x:c>
      <x:c r="C59" s="8" t="n">
        <x:f>MSCI_ACWI!B59</x:f>
        <x:v>39081.62786135538</x:v>
      </x:c>
      <x:c r="D59" s="10" t="n">
        <x:f>MSCI_ACWI!C59</x:f>
        <x:v>0.001857140026607862</x:v>
      </x:c>
      <x:c r="E59" s="12" t="n">
        <x:f>Sources!I59</x:f>
        <x:v>71.5</x:v>
      </x:c>
      <x:c r="F59" s="10" t="n">
        <x:f>E59/E58-1</x:f>
        <x:v>0.0014005602240896309</x:v>
      </x:c>
      <x:c r="G59" s="10" t="n">
        <x:f>(1+D59)/(1+F59)-1</x:f>
        <x:v>0.0004559412293678733</x:v>
      </x:c>
    </x:row>
    <x:row r="60">
      <x:c r="A60" s="6" t="n">
        <x:v>36250</x:v>
      </x:c>
      <x:c r="B60" t="str">
        <x:f>IF(A60&lt;=DATE(2006,5,31),"MSCI ACWI GBP Net Return",IF(A60&lt;=DATE(2024,2,29),"Solactive GBS Global Markets L&amp;M GBP NTR","PACW actual grossed up by OCF"))</x:f>
        <x:v>MSCI ACWI GBP Net Return</x:v>
      </x:c>
      <x:c r="C60" s="8" t="n">
        <x:f>MSCI_ACWI!B60</x:f>
        <x:v>40608.92305769517</x:v>
      </x:c>
      <x:c r="D60" s="10" t="n">
        <x:f>MSCI_ACWI!C60</x:f>
        <x:v>0.03907962078135441</x:v>
      </x:c>
      <x:c r="E60" s="12" t="n">
        <x:f>Sources!I60</x:f>
        <x:v>71.9</x:v>
      </x:c>
      <x:c r="F60" s="10" t="n">
        <x:f>E60/E59-1</x:f>
        <x:v>0.005594405594405716</x:v>
      </x:c>
      <x:c r="G60" s="10" t="n">
        <x:f>(1+D60)/(1+F60)-1</x:f>
        <x:v>0.033298927480762686</x:v>
      </x:c>
    </x:row>
    <x:row r="61">
      <x:c r="A61" s="6" t="n">
        <x:v>36280</x:v>
      </x:c>
      <x:c r="B61" t="str">
        <x:f>IF(A61&lt;=DATE(2006,5,31),"MSCI ACWI GBP Net Return",IF(A61&lt;=DATE(2024,2,29),"Solactive GBS Global Markets L&amp;M GBP NTR","PACW actual grossed up by OCF"))</x:f>
        <x:v>MSCI ACWI GBP Net Return</x:v>
      </x:c>
      <x:c r="C61" s="8" t="n">
        <x:f>MSCI_ACWI!B61</x:f>
        <x:v>42350.100421856</x:v>
      </x:c>
      <x:c r="D61" s="10" t="n">
        <x:f>MSCI_ACWI!C61</x:f>
        <x:v>0.04287671854008668</x:v>
      </x:c>
      <x:c r="E61" s="12" t="n">
        <x:f>Sources!I61</x:f>
        <x:v>72.2</x:v>
      </x:c>
      <x:c r="F61" s="10" t="n">
        <x:f>E61/E60-1</x:f>
        <x:v>0.004172461752433909</x:v>
      </x:c>
      <x:c r="G61" s="10" t="n">
        <x:f>(1+D61)/(1+F61)-1</x:f>
        <x:v>0.03854343577606967</x:v>
      </x:c>
    </x:row>
    <x:row r="62">
      <x:c r="A62" s="6" t="n">
        <x:v>36311</x:v>
      </x:c>
      <x:c r="B62" t="str">
        <x:f>IF(A62&lt;=DATE(2006,5,31),"MSCI ACWI GBP Net Return",IF(A62&lt;=DATE(2024,2,29),"Solactive GBS Global Markets L&amp;M GBP NTR","PACW actual grossed up by OCF"))</x:f>
        <x:v>MSCI ACWI GBP Net Return</x:v>
      </x:c>
      <x:c r="C62" s="8" t="n">
        <x:f>MSCI_ACWI!B62</x:f>
        <x:v>41108.36079445761</x:v>
      </x:c>
      <x:c r="D62" s="10" t="n">
        <x:f>MSCI_ACWI!C62</x:f>
        <x:v>-0.029320818959795325</x:v>
      </x:c>
      <x:c r="E62" s="12" t="n">
        <x:f>Sources!I62</x:f>
        <x:v>72.4</x:v>
      </x:c>
      <x:c r="F62" s="10" t="n">
        <x:f>E62/E61-1</x:f>
        <x:v>0.0027700831024930483</x:v>
      </x:c>
      <x:c r="G62" s="10" t="n">
        <x:f>(1+D62)/(1+F62)-1</x:f>
        <x:v>-0.0320022531615638</x:v>
      </x:c>
    </x:row>
    <x:row r="63">
      <x:c r="A63" s="6" t="n">
        <x:v>36341</x:v>
      </x:c>
      <x:c r="B63" t="str">
        <x:f>IF(A63&lt;=DATE(2006,5,31),"MSCI ACWI GBP Net Return",IF(A63&lt;=DATE(2024,2,29),"Solactive GBS Global Markets L&amp;M GBP NTR","PACW actual grossed up by OCF"))</x:f>
        <x:v>MSCI ACWI GBP Net Return</x:v>
      </x:c>
      <x:c r="C63" s="8" t="n">
        <x:f>MSCI_ACWI!B63</x:f>
        <x:v>43951.03352531934</x:v>
      </x:c>
      <x:c r="D63" s="10" t="n">
        <x:f>MSCI_ACWI!C63</x:f>
        <x:v>0.06915071960847907</x:v>
      </x:c>
      <x:c r="E63" s="12" t="n">
        <x:f>Sources!I63</x:f>
        <x:v>72.3</x:v>
      </x:c>
      <x:c r="F63" s="10" t="n">
        <x:f>E63/E62-1</x:f>
        <x:v>-0.0013812154696133394</x:v>
      </x:c>
      <x:c r="G63" s="10" t="n">
        <x:f>(1+D63)/(1+F63)-1</x:f>
        <x:v>0.07062948962176896</x:v>
      </x:c>
    </x:row>
    <x:row r="64">
      <x:c r="A64" s="6" t="n">
        <x:v>36372</x:v>
      </x:c>
      <x:c r="B64" t="str">
        <x:f>IF(A64&lt;=DATE(2006,5,31),"MSCI ACWI GBP Net Return",IF(A64&lt;=DATE(2024,2,29),"Solactive GBS Global Markets L&amp;M GBP NTR","PACW actual grossed up by OCF"))</x:f>
        <x:v>MSCI ACWI GBP Net Return</x:v>
      </x:c>
      <x:c r="C64" s="8" t="n">
        <x:f>MSCI_ACWI!B64</x:f>
        <x:v>42498.79312798147</x:v>
      </x:c>
      <x:c r="D64" s="10" t="n">
        <x:f>MSCI_ACWI!C64</x:f>
        <x:v>-0.03304223543460616</x:v>
      </x:c>
      <x:c r="E64" s="12" t="n">
        <x:f>Sources!I64</x:f>
        <x:v>71.9</x:v>
      </x:c>
      <x:c r="F64" s="10" t="n">
        <x:f>E64/E63-1</x:f>
        <x:v>-0.0055325034578145305</x:v>
      </x:c>
      <x:c r="G64" s="10" t="n">
        <x:f>(1+D64)/(1+F64)-1</x:f>
        <x:v>-0.02766277638278214</x:v>
      </x:c>
    </x:row>
    <x:row r="65">
      <x:c r="A65" s="6" t="n">
        <x:v>36403</x:v>
      </x:c>
      <x:c r="B65" t="str">
        <x:f>IF(A65&lt;=DATE(2006,5,31),"MSCI ACWI GBP Net Return",IF(A65&lt;=DATE(2024,2,29),"Solactive GBS Global Markets L&amp;M GBP NTR","PACW actual grossed up by OCF"))</x:f>
        <x:v>MSCI ACWI GBP Net Return</x:v>
      </x:c>
      <x:c r="C65" s="8" t="n">
        <x:f>MSCI_ACWI!B65</x:f>
        <x:v>42848.96190851367</x:v>
      </x:c>
      <x:c r="D65" s="10" t="n">
        <x:f>MSCI_ACWI!C65</x:f>
        <x:v>0.008239499401258232</x:v>
      </x:c>
      <x:c r="E65" s="12" t="n">
        <x:f>Sources!I65</x:f>
        <x:v>72.1</x:v>
      </x:c>
      <x:c r="F65" s="10" t="n">
        <x:f>E65/E64-1</x:f>
        <x:v>0.0027816411682890507</x:v>
      </x:c>
      <x:c r="G65" s="10" t="n">
        <x:f>(1+D65)/(1+F65)-1</x:f>
        <x:v>0.0054427185430026</x:v>
      </x:c>
    </x:row>
    <x:row r="66">
      <x:c r="A66" s="6" t="n">
        <x:v>36433</x:v>
      </x:c>
      <x:c r="B66" t="str">
        <x:f>IF(A66&lt;=DATE(2006,5,31),"MSCI ACWI GBP Net Return",IF(A66&lt;=DATE(2024,2,29),"Solactive GBS Global Markets L&amp;M GBP NTR","PACW actual grossed up by OCF"))</x:f>
        <x:v>MSCI ACWI GBP Net Return</x:v>
      </x:c>
      <x:c r="C66" s="8" t="n">
        <x:f>MSCI_ACWI!B66</x:f>
        <x:v>41319.40379098454</x:v>
      </x:c>
      <x:c r="D66" s="10" t="n">
        <x:f>MSCI_ACWI!C66</x:f>
        <x:v>-0.03569650347177311</x:v>
      </x:c>
      <x:c r="E66" s="12" t="n">
        <x:f>Sources!I66</x:f>
        <x:v>72.4</x:v>
      </x:c>
      <x:c r="F66" s="10" t="n">
        <x:f>E66/E65-1</x:f>
        <x:v>0.004160887656033507</x:v>
      </x:c>
      <x:c r="G66" s="10" t="n">
        <x:f>(1+D66)/(1+F66)-1</x:f>
        <x:v>-0.0396922361921942</x:v>
      </x:c>
    </x:row>
    <x:row r="67">
      <x:c r="A67" s="6" t="n">
        <x:v>36464</x:v>
      </x:c>
      <x:c r="B67" t="str">
        <x:f>IF(A67&lt;=DATE(2006,5,31),"MSCI ACWI GBP Net Return",IF(A67&lt;=DATE(2024,2,29),"Solactive GBS Global Markets L&amp;M GBP NTR","PACW actual grossed up by OCF"))</x:f>
        <x:v>MSCI ACWI GBP Net Return</x:v>
      </x:c>
      <x:c r="C67" s="8" t="n">
        <x:f>MSCI_ACWI!B67</x:f>
        <x:v>43731.591881926215</x:v>
      </x:c>
      <x:c r="D67" s="10" t="n">
        <x:f>MSCI_ACWI!C67</x:f>
        <x:v>0.05837906333653309</x:v>
      </x:c>
      <x:c r="E67" s="12" t="n">
        <x:f>Sources!I67</x:f>
        <x:v>72.3</x:v>
      </x:c>
      <x:c r="F67" s="10" t="n">
        <x:f>E67/E66-1</x:f>
        <x:v>-0.0013812154696133394</x:v>
      </x:c>
      <x:c r="G67" s="10" t="n">
        <x:f>(1+D67)/(1+F67)-1</x:f>
        <x:v>0.05984293479343017</x:v>
      </x:c>
    </x:row>
    <x:row r="68">
      <x:c r="A68" s="6" t="n">
        <x:v>36494</x:v>
      </x:c>
      <x:c r="B68" t="str">
        <x:f>IF(A68&lt;=DATE(2006,5,31),"MSCI ACWI GBP Net Return",IF(A68&lt;=DATE(2024,2,29),"Solactive GBS Global Markets L&amp;M GBP NTR","PACW actual grossed up by OCF"))</x:f>
        <x:v>MSCI ACWI GBP Net Return</x:v>
      </x:c>
      <x:c r="C68" s="8" t="n">
        <x:f>MSCI_ACWI!B68</x:f>
        <x:v>46183.68952635456</x:v>
      </x:c>
      <x:c r="D68" s="10" t="n">
        <x:f>MSCI_ACWI!C68</x:f>
        <x:v>0.056071538649883124</x:v>
      </x:c>
      <x:c r="E68" s="12" t="n">
        <x:f>Sources!I68</x:f>
        <x:v>72.4</x:v>
      </x:c>
      <x:c r="F68" s="10" t="n">
        <x:f>E68/E67-1</x:f>
        <x:v>0.0013831258644538824</x:v>
      </x:c>
      <x:c r="G68" s="10" t="n">
        <x:f>(1+D68)/(1+F68)-1</x:f>
        <x:v>0.0546128763036815</x:v>
      </x:c>
    </x:row>
    <x:row r="69">
      <x:c r="A69" s="6" t="n">
        <x:v>36525</x:v>
      </x:c>
      <x:c r="B69" t="str">
        <x:f>IF(A69&lt;=DATE(2006,5,31),"MSCI ACWI GBP Net Return",IF(A69&lt;=DATE(2024,2,29),"Solactive GBS Global Markets L&amp;M GBP NTR","PACW actual grossed up by OCF"))</x:f>
        <x:v>MSCI ACWI GBP Net Return</x:v>
      </x:c>
      <x:c r="C69" s="8" t="n">
        <x:f>MSCI_ACWI!B69</x:f>
        <x:v>49426.53497923057</x:v>
      </x:c>
      <x:c r="D69" s="10" t="n">
        <x:f>MSCI_ACWI!C69</x:f>
        <x:v>0.07021624920255665</x:v>
      </x:c>
      <x:c r="E69" s="12" t="n">
        <x:f>Sources!I69</x:f>
        <x:v>72.6</x:v>
      </x:c>
      <x:c r="F69" s="10" t="n">
        <x:f>E69/E68-1</x:f>
        <x:v>0.0027624309392264568</x:v>
      </x:c>
      <x:c r="G69" s="10" t="n">
        <x:f>(1+D69)/(1+F69)-1</x:f>
        <x:v>0.06726799507252212</x:v>
      </x:c>
    </x:row>
    <x:row r="70">
      <x:c r="A70" s="6" t="n">
        <x:v>36556</x:v>
      </x:c>
      <x:c r="B70" t="str">
        <x:f>IF(A70&lt;=DATE(2006,5,31),"MSCI ACWI GBP Net Return",IF(A70&lt;=DATE(2024,2,29),"Solactive GBS Global Markets L&amp;M GBP NTR","PACW actual grossed up by OCF"))</x:f>
        <x:v>MSCI ACWI GBP Net Return</x:v>
      </x:c>
      <x:c r="C70" s="8" t="n">
        <x:f>MSCI_ACWI!B70</x:f>
        <x:v>46666.20152350284</x:v>
      </x:c>
      <x:c r="D70" s="10" t="n">
        <x:f>MSCI_ACWI!C70</x:f>
        <x:v>-0.05584719739887989</x:v>
      </x:c>
      <x:c r="E70" s="12" t="n">
        <x:f>Sources!I70</x:f>
        <x:v>71.9</x:v>
      </x:c>
      <x:c r="F70" s="10" t="n">
        <x:f>E70/E69-1</x:f>
        <x:v>-0.009641873278236734</x:v>
      </x:c>
      <x:c r="G70" s="10" t="n">
        <x:f>(1+D70)/(1+F70)-1</x:f>
        <x:v>-0.046655167331831615</x:v>
      </x:c>
    </x:row>
    <x:row r="71">
      <x:c r="A71" s="6" t="n">
        <x:v>36585</x:v>
      </x:c>
      <x:c r="B71" t="str">
        <x:f>IF(A71&lt;=DATE(2006,5,31),"MSCI ACWI GBP Net Return",IF(A71&lt;=DATE(2024,2,29),"Solactive GBS Global Markets L&amp;M GBP NTR","PACW actual grossed up by OCF"))</x:f>
        <x:v>MSCI ACWI GBP Net Return</x:v>
      </x:c>
      <x:c r="C71" s="8" t="n">
        <x:f>MSCI_ACWI!B71</x:f>
        <x:v>47874.86221228733</x:v>
      </x:c>
      <x:c r="D71" s="10" t="n">
        <x:f>MSCI_ACWI!C71</x:f>
        <x:v>0.02590013005827707</x:v>
      </x:c>
      <x:c r="E71" s="12" t="n">
        <x:f>Sources!I71</x:f>
        <x:v>72.2</x:v>
      </x:c>
      <x:c r="F71" s="10" t="n">
        <x:f>E71/E70-1</x:f>
        <x:v>0.004172461752433909</x:v>
      </x:c>
      <x:c r="G71" s="10" t="n">
        <x:f>(1+D71)/(1+F71)-1</x:f>
        <x:v>0.021637387135597264</x:v>
      </x:c>
    </x:row>
    <x:row r="72">
      <x:c r="A72" s="6" t="n">
        <x:v>36616</x:v>
      </x:c>
      <x:c r="B72" t="str">
        <x:f>IF(A72&lt;=DATE(2006,5,31),"MSCI ACWI GBP Net Return",IF(A72&lt;=DATE(2024,2,29),"Solactive GBS Global Markets L&amp;M GBP NTR","PACW actual grossed up by OCF"))</x:f>
        <x:v>MSCI ACWI GBP Net Return</x:v>
      </x:c>
      <x:c r="C72" s="8" t="n">
        <x:f>MSCI_ACWI!B72</x:f>
        <x:v>50621.72158354489</x:v>
      </x:c>
      <x:c r="D72" s="10" t="n">
        <x:f>MSCI_ACWI!C72</x:f>
        <x:v>0.057375817795096706</x:v>
      </x:c>
      <x:c r="E72" s="12" t="n">
        <x:f>Sources!I72</x:f>
        <x:v>72.3</x:v>
      </x:c>
      <x:c r="F72" s="10" t="n">
        <x:f>E72/E71-1</x:f>
        <x:v>0.0013850415512464131</x:v>
      </x:c>
      <x:c r="G72" s="10" t="n">
        <x:f>(1+D72)/(1+F72)-1</x:f>
        <x:v>0.05591333395305664</x:v>
      </x:c>
    </x:row>
    <x:row r="73">
      <x:c r="A73" s="6" t="n">
        <x:v>36646</x:v>
      </x:c>
      <x:c r="B73" t="str">
        <x:f>IF(A73&lt;=DATE(2006,5,31),"MSCI ACWI GBP Net Return",IF(A73&lt;=DATE(2024,2,29),"Solactive GBS Global Markets L&amp;M GBP NTR","PACW actual grossed up by OCF"))</x:f>
        <x:v>MSCI ACWI GBP Net Return</x:v>
      </x:c>
      <x:c r="C73" s="8" t="n">
        <x:f>MSCI_ACWI!B73</x:f>
        <x:v>49219.26156002623</x:v>
      </x:c>
      <x:c r="D73" s="10" t="n">
        <x:f>MSCI_ACWI!C73</x:f>
        <x:v>-0.027704708169675185</x:v>
      </x:c>
      <x:c r="E73" s="12" t="n">
        <x:f>Sources!I73</x:f>
        <x:v>72.6</x:v>
      </x:c>
      <x:c r="F73" s="10" t="n">
        <x:f>E73/E72-1</x:f>
        <x:v>0.004149377593360981</x:v>
      </x:c>
      <x:c r="G73" s="10" t="n">
        <x:f>(1+D73)/(1+F73)-1</x:f>
        <x:v>-0.031722457309469876</x:v>
      </x:c>
    </x:row>
    <x:row r="74">
      <x:c r="A74" s="6" t="n">
        <x:v>36677</x:v>
      </x:c>
      <x:c r="B74" t="str">
        <x:f>IF(A74&lt;=DATE(2006,5,31),"MSCI ACWI GBP Net Return",IF(A74&lt;=DATE(2024,2,29),"Solactive GBS Global Markets L&amp;M GBP NTR","PACW actual grossed up by OCF"))</x:f>
        <x:v>MSCI ACWI GBP Net Return</x:v>
      </x:c>
      <x:c r="C74" s="8" t="n">
        <x:f>MSCI_ACWI!B74</x:f>
        <x:v>50301.22516942666</x:v>
      </x:c>
      <x:c r="D74" s="10" t="n">
        <x:f>MSCI_ACWI!C74</x:f>
        <x:v>0.021982524221353827</x:v>
      </x:c>
      <x:c r="E74" s="12" t="n">
        <x:f>Sources!I74</x:f>
        <x:v>72.8</x:v>
      </x:c>
      <x:c r="F74" s="10" t="n">
        <x:f>E74/E73-1</x:f>
        <x:v>0.0027548209366392573</x:v>
      </x:c>
      <x:c r="G74" s="10" t="n">
        <x:f>(1+D74)/(1+F74)-1</x:f>
        <x:v>0.01917487992404232</x:v>
      </x:c>
    </x:row>
    <x:row r="75">
      <x:c r="A75" s="6" t="n">
        <x:v>36707</x:v>
      </x:c>
      <x:c r="B75" t="str">
        <x:f>IF(A75&lt;=DATE(2006,5,31),"MSCI ACWI GBP Net Return",IF(A75&lt;=DATE(2024,2,29),"Solactive GBS Global Markets L&amp;M GBP NTR","PACW actual grossed up by OCF"))</x:f>
        <x:v>MSCI ACWI GBP Net Return</x:v>
      </x:c>
      <x:c r="C75" s="8" t="n">
        <x:f>MSCI_ACWI!B75</x:f>
        <x:v>51426.37470904444</x:v>
      </x:c>
      <x:c r="D75" s="10" t="n">
        <x:f>MSCI_ACWI!C75</x:f>
        <x:v>0.02236823329507387</x:v>
      </x:c>
      <x:c r="E75" s="12" t="n">
        <x:f>Sources!I75</x:f>
        <x:v>72.9</x:v>
      </x:c>
      <x:c r="F75" s="10" t="n">
        <x:f>E75/E74-1</x:f>
        <x:v>0.0013736263736265908</x:v>
      </x:c>
      <x:c r="G75" s="10" t="n">
        <x:f>(1+D75)/(1+F75)-1</x:f>
        <x:v>0.02096580773499812</x:v>
      </x:c>
    </x:row>
    <x:row r="76">
      <x:c r="A76" s="6" t="n">
        <x:v>36738</x:v>
      </x:c>
      <x:c r="B76" t="str">
        <x:f>IF(A76&lt;=DATE(2006,5,31),"MSCI ACWI GBP Net Return",IF(A76&lt;=DATE(2024,2,29),"Solactive GBS Global Markets L&amp;M GBP NTR","PACW actual grossed up by OCF"))</x:f>
        <x:v>MSCI ACWI GBP Net Return</x:v>
      </x:c>
      <x:c r="C76" s="8" t="n">
        <x:f>MSCI_ACWI!B76</x:f>
        <x:v>50430.97506429225</x:v>
      </x:c>
      <x:c r="D76" s="10" t="n">
        <x:f>MSCI_ACWI!C76</x:f>
        <x:v>-0.019355819856714973</x:v>
      </x:c>
      <x:c r="E76" s="12" t="n">
        <x:f>Sources!I76</x:f>
        <x:v>72.5</x:v>
      </x:c>
      <x:c r="F76" s="10" t="n">
        <x:f>E76/E75-1</x:f>
        <x:v>-0.005486968449931462</x:v>
      </x:c>
      <x:c r="G76" s="10" t="n">
        <x:f>(1+D76)/(1+F76)-1</x:f>
        <x:v>-0.01394536920764855</x:v>
      </x:c>
    </x:row>
    <x:row r="77">
      <x:c r="A77" s="6" t="n">
        <x:v>36769</x:v>
      </x:c>
      <x:c r="B77" t="str">
        <x:f>IF(A77&lt;=DATE(2006,5,31),"MSCI ACWI GBP Net Return",IF(A77&lt;=DATE(2024,2,29),"Solactive GBS Global Markets L&amp;M GBP NTR","PACW actual grossed up by OCF"))</x:f>
        <x:v>MSCI ACWI GBP Net Return</x:v>
      </x:c>
      <x:c r="C77" s="8" t="n">
        <x:f>MSCI_ACWI!B77</x:f>
        <x:v>53555.864202194</x:v>
      </x:c>
      <x:c r="D77" s="10" t="n">
        <x:f>MSCI_ACWI!C77</x:f>
        <x:v>0.061963686681012264</x:v>
      </x:c>
      <x:c r="E77" s="12" t="n">
        <x:f>Sources!I77</x:f>
        <x:v>72.5</x:v>
      </x:c>
      <x:c r="F77" s="10" t="n">
        <x:f>E77/E76-1</x:f>
        <x:v>0</x:v>
      </x:c>
      <x:c r="G77" s="10" t="n">
        <x:f>(1+D77)/(1+F77)-1</x:f>
        <x:v>0.061963686681012264</x:v>
      </x:c>
    </x:row>
    <x:row r="78">
      <x:c r="A78" s="6" t="n">
        <x:v>36799</x:v>
      </x:c>
      <x:c r="B78" t="str">
        <x:f>IF(A78&lt;=DATE(2006,5,31),"MSCI ACWI GBP Net Return",IF(A78&lt;=DATE(2024,2,29),"Solactive GBS Global Markets L&amp;M GBP NTR","PACW actual grossed up by OCF"))</x:f>
        <x:v>MSCI ACWI GBP Net Return</x:v>
      </x:c>
      <x:c r="C78" s="8" t="n">
        <x:f>MSCI_ACWI!B78</x:f>
        <x:v>50044.74898126168</x:v>
      </x:c>
      <x:c r="D78" s="10" t="n">
        <x:f>MSCI_ACWI!C78</x:f>
        <x:v>-0.06555986488569232</x:v>
      </x:c>
      <x:c r="E78" s="12" t="n">
        <x:f>Sources!I78</x:f>
        <x:v>73.1</x:v>
      </x:c>
      <x:c r="F78" s="10" t="n">
        <x:f>E78/E77-1</x:f>
        <x:v>0.008275862068965356</x:v>
      </x:c>
      <x:c r="G78" s="10" t="n">
        <x:f>(1+D78)/(1+F78)-1</x:f>
        <x:v>-0.0732296881561243</x:v>
      </x:c>
    </x:row>
    <x:row r="79">
      <x:c r="A79" s="6" t="n">
        <x:v>36830</x:v>
      </x:c>
      <x:c r="B79" t="str">
        <x:f>IF(A79&lt;=DATE(2006,5,31),"MSCI ACWI GBP Net Return",IF(A79&lt;=DATE(2024,2,29),"Solactive GBS Global Markets L&amp;M GBP NTR","PACW actual grossed up by OCF"))</x:f>
        <x:v>MSCI ACWI GBP Net Return</x:v>
      </x:c>
      <x:c r="C79" s="8" t="n">
        <x:f>MSCI_ACWI!B79</x:f>
        <x:v>49741.32712194907</x:v>
      </x:c>
      <x:c r="D79" s="10" t="n">
        <x:f>MSCI_ACWI!C79</x:f>
        <x:v>-0.006063010915015599</x:v>
      </x:c>
      <x:c r="E79" s="12" t="n">
        <x:f>Sources!I79</x:f>
        <x:v>73.1</x:v>
      </x:c>
      <x:c r="F79" s="10" t="n">
        <x:f>E79/E78-1</x:f>
        <x:v>0</x:v>
      </x:c>
      <x:c r="G79" s="10" t="n">
        <x:f>(1+D79)/(1+F79)-1</x:f>
        <x:v>-0.006063010915015599</x:v>
      </x:c>
    </x:row>
    <x:row r="80">
      <x:c r="A80" s="6" t="n">
        <x:v>36860</x:v>
      </x:c>
      <x:c r="B80" t="str">
        <x:f>IF(A80&lt;=DATE(2006,5,31),"MSCI ACWI GBP Net Return",IF(A80&lt;=DATE(2024,2,29),"Solactive GBS Global Markets L&amp;M GBP NTR","PACW actual grossed up by OCF"))</x:f>
        <x:v>MSCI ACWI GBP Net Return</x:v>
      </x:c>
      <x:c r="C80" s="8" t="n">
        <x:f>MSCI_ACWI!B80</x:f>
        <x:v>47708.67754667996</x:v>
      </x:c>
      <x:c r="D80" s="10" t="n">
        <x:f>MSCI_ACWI!C80</x:f>
        <x:v>-0.040864401753610946</x:v>
      </x:c>
      <x:c r="E80" s="12" t="n">
        <x:f>Sources!I80</x:f>
        <x:v>73.2</x:v>
      </x:c>
      <x:c r="F80" s="10" t="n">
        <x:f>E80/E79-1</x:f>
        <x:v>0.001367989056087593</x:v>
      </x:c>
      <x:c r="G80" s="10" t="n">
        <x:f>(1+D80)/(1+F80)-1</x:f>
        <x:v>-0.042174696286734425</x:v>
      </x:c>
    </x:row>
    <x:row r="81">
      <x:c r="A81" s="6" t="n">
        <x:v>36891</x:v>
      </x:c>
      <x:c r="B81" t="str">
        <x:f>IF(A81&lt;=DATE(2006,5,31),"MSCI ACWI GBP Net Return",IF(A81&lt;=DATE(2024,2,29),"Solactive GBS Global Markets L&amp;M GBP NTR","PACW actual grossed up by OCF"))</x:f>
        <x:v>MSCI ACWI GBP Net Return</x:v>
      </x:c>
      <x:c r="C81" s="8" t="n">
        <x:f>MSCI_ACWI!B81</x:f>
        <x:v>46103.17880442796</x:v>
      </x:c>
      <x:c r="D81" s="10" t="n">
        <x:f>MSCI_ACWI!C81</x:f>
        <x:v>-0.033652132584918504</x:v>
      </x:c>
      <x:c r="E81" s="12" t="n">
        <x:f>Sources!I81</x:f>
        <x:v>73.2</x:v>
      </x:c>
      <x:c r="F81" s="10" t="n">
        <x:f>E81/E80-1</x:f>
        <x:v>0</x:v>
      </x:c>
      <x:c r="G81" s="10" t="n">
        <x:f>(1+D81)/(1+F81)-1</x:f>
        <x:v>-0.033652132584918504</x:v>
      </x:c>
    </x:row>
    <x:row r="82">
      <x:c r="A82" s="6" t="n">
        <x:v>36922</x:v>
      </x:c>
      <x:c r="B82" t="str">
        <x:f>IF(A82&lt;=DATE(2006,5,31),"MSCI ACWI GBP Net Return",IF(A82&lt;=DATE(2024,2,29),"Solactive GBS Global Markets L&amp;M GBP NTR","PACW actual grossed up by OCF"))</x:f>
        <x:v>MSCI ACWI GBP Net Return</x:v>
      </x:c>
      <x:c r="C82" s="8" t="n">
        <x:f>MSCI_ACWI!B82</x:f>
        <x:v>48285.39214033431</x:v>
      </x:c>
      <x:c r="D82" s="10" t="n">
        <x:f>MSCI_ACWI!C82</x:f>
        <x:v>0.04733325103597319</x:v>
      </x:c>
      <x:c r="E82" s="12" t="n">
        <x:f>Sources!I82</x:f>
        <x:v>72.6</x:v>
      </x:c>
      <x:c r="F82" s="10" t="n">
        <x:f>E82/E81-1</x:f>
        <x:v>-0.00819672131147553</x:v>
      </x:c>
      <x:c r="G82" s="10" t="n">
        <x:f>(1+D82)/(1+F82)-1</x:f>
        <x:v>0.05598889773874993</x:v>
      </x:c>
    </x:row>
    <x:row r="83">
      <x:c r="A83" s="6" t="n">
        <x:v>36950</x:v>
      </x:c>
      <x:c r="B83" t="str">
        <x:f>IF(A83&lt;=DATE(2006,5,31),"MSCI ACWI GBP Net Return",IF(A83&lt;=DATE(2024,2,29),"Solactive GBS Global Markets L&amp;M GBP NTR","PACW actual grossed up by OCF"))</x:f>
        <x:v>MSCI ACWI GBP Net Return</x:v>
      </x:c>
      <x:c r="C83" s="8" t="n">
        <x:f>MSCI_ACWI!B83</x:f>
        <x:v>44577.48313489269</x:v>
      </x:c>
      <x:c r="D83" s="10" t="n">
        <x:f>MSCI_ACWI!C83</x:f>
        <x:v>-0.07679152723177929</x:v>
      </x:c>
      <x:c r="E83" s="12" t="n">
        <x:f>Sources!I83</x:f>
        <x:v>72.7</x:v>
      </x:c>
      <x:c r="F83" s="10" t="n">
        <x:f>E83/E82-1</x:f>
        <x:v>0.0013774104683197397</x:v>
      </x:c>
      <x:c r="G83" s="10" t="n">
        <x:f>(1+D83)/(1+F83)-1</x:f>
        <x:v>-0.07806141508978248</x:v>
      </x:c>
    </x:row>
    <x:row r="84">
      <x:c r="A84" s="6" t="n">
        <x:v>36981</x:v>
      </x:c>
      <x:c r="B84" t="str">
        <x:f>IF(A84&lt;=DATE(2006,5,31),"MSCI ACWI GBP Net Return",IF(A84&lt;=DATE(2024,2,29),"Solactive GBS Global Markets L&amp;M GBP NTR","PACW actual grossed up by OCF"))</x:f>
        <x:v>MSCI ACWI GBP Net Return</x:v>
      </x:c>
      <x:c r="C84" s="8" t="n">
        <x:f>MSCI_ACWI!B84</x:f>
        <x:v>42205.89766896767</x:v>
      </x:c>
      <x:c r="D84" s="10" t="n">
        <x:f>MSCI_ACWI!C84</x:f>
        <x:v>-0.053201421416021466</x:v>
      </x:c>
      <x:c r="E84" s="12" t="n">
        <x:f>Sources!I84</x:f>
        <x:v>73</x:v>
      </x:c>
      <x:c r="F84" s="10" t="n">
        <x:f>E84/E83-1</x:f>
        <x:v>0.004126547455295615</x:v>
      </x:c>
      <x:c r="G84" s="10" t="n">
        <x:f>(1+D84)/(1+F84)-1</x:f>
        <x:v>-0.057092374478695196</x:v>
      </x:c>
    </x:row>
    <x:row r="85">
      <x:c r="A85" s="6" t="n">
        <x:v>37011</x:v>
      </x:c>
      <x:c r="B85" t="str">
        <x:f>IF(A85&lt;=DATE(2006,5,31),"MSCI ACWI GBP Net Return",IF(A85&lt;=DATE(2024,2,29),"Solactive GBS Global Markets L&amp;M GBP NTR","PACW actual grossed up by OCF"))</x:f>
        <x:v>MSCI ACWI GBP Net Return</x:v>
      </x:c>
      <x:c r="C85" s="8" t="n">
        <x:f>MSCI_ACWI!B85</x:f>
        <x:v>45077.46270350116</x:v>
      </x:c>
      <x:c r="D85" s="10" t="n">
        <x:f>MSCI_ACWI!C85</x:f>
        <x:v>0.06803705626772705</x:v>
      </x:c>
      <x:c r="E85" s="12" t="n">
        <x:f>Sources!I85</x:f>
        <x:v>73.4</x:v>
      </x:c>
      <x:c r="F85" s="10" t="n">
        <x:f>E85/E84-1</x:f>
        <x:v>0.005479452054794498</x:v>
      </x:c>
      <x:c r="G85" s="10" t="n">
        <x:f>(1+D85)/(1+F85)-1</x:f>
        <x:v>0.06221669083847514</x:v>
      </x:c>
    </x:row>
    <x:row r="86">
      <x:c r="A86" s="6" t="n">
        <x:v>37042</x:v>
      </x:c>
      <x:c r="B86" t="str">
        <x:f>IF(A86&lt;=DATE(2006,5,31),"MSCI ACWI GBP Net Return",IF(A86&lt;=DATE(2024,2,29),"Solactive GBS Global Markets L&amp;M GBP NTR","PACW actual grossed up by OCF"))</x:f>
        <x:v>MSCI ACWI GBP Net Return</x:v>
      </x:c>
      <x:c r="C86" s="8" t="n">
        <x:f>MSCI_ACWI!B86</x:f>
        <x:v>44984.53825544767</x:v>
      </x:c>
      <x:c r="D86" s="10" t="n">
        <x:f>MSCI_ACWI!C86</x:f>
        <x:v>-0.0020614391866885518</x:v>
      </x:c>
      <x:c r="E86" s="12" t="n">
        <x:f>Sources!I86</x:f>
        <x:v>74</x:v>
      </x:c>
      <x:c r="F86" s="10" t="n">
        <x:f>E86/E85-1</x:f>
        <x:v>0.008174386920980936</x:v>
      </x:c>
      <x:c r="G86" s="10" t="n">
        <x:f>(1+D86)/(1+F86)-1</x:f>
        <x:v>-0.010152832923012722</x:v>
      </x:c>
    </x:row>
    <x:row r="87">
      <x:c r="A87" s="6" t="n">
        <x:v>37072</x:v>
      </x:c>
      <x:c r="B87" t="str">
        <x:f>IF(A87&lt;=DATE(2006,5,31),"MSCI ACWI GBP Net Return",IF(A87&lt;=DATE(2024,2,29),"Solactive GBS Global Markets L&amp;M GBP NTR","PACW actual grossed up by OCF"))</x:f>
        <x:v>MSCI ACWI GBP Net Return</x:v>
      </x:c>
      <x:c r="C87" s="8" t="n">
        <x:f>MSCI_ACWI!B87</x:f>
        <x:v>44029.767588404335</x:v>
      </x:c>
      <x:c r="D87" s="10" t="n">
        <x:f>MSCI_ACWI!C87</x:f>
        <x:v>-0.02122441852401824</x:v>
      </x:c>
      <x:c r="E87" s="12" t="n">
        <x:f>Sources!I87</x:f>
        <x:v>74.1</x:v>
      </x:c>
      <x:c r="F87" s="10" t="n">
        <x:f>E87/E86-1</x:f>
        <x:v>0.0013513513513512265</x:v>
      </x:c>
      <x:c r="G87" s="10" t="n">
        <x:f>(1+D87)/(1+F87)-1</x:f>
        <x:v>-0.022545303249356774</x:v>
      </x:c>
    </x:row>
    <x:row r="88">
      <x:c r="A88" s="6" t="n">
        <x:v>37103</x:v>
      </x:c>
      <x:c r="B88" t="str">
        <x:f>IF(A88&lt;=DATE(2006,5,31),"MSCI ACWI GBP Net Return",IF(A88&lt;=DATE(2024,2,29),"Solactive GBS Global Markets L&amp;M GBP NTR","PACW actual grossed up by OCF"))</x:f>
        <x:v>MSCI ACWI GBP Net Return</x:v>
      </x:c>
      <x:c r="C88" s="8" t="n">
        <x:f>MSCI_ACWI!B88</x:f>
        <x:v>42754.13361871058</x:v>
      </x:c>
      <x:c r="D88" s="10" t="n">
        <x:f>MSCI_ACWI!C88</x:f>
        <x:v>-0.028972080471069916</x:v>
      </x:c>
      <x:c r="E88" s="12" t="n">
        <x:f>Sources!I88</x:f>
        <x:v>73.6</x:v>
      </x:c>
      <x:c r="F88" s="10" t="n">
        <x:f>E88/E87-1</x:f>
        <x:v>-0.006747638326585648</x:v>
      </x:c>
      <x:c r="G88" s="10" t="n">
        <x:f>(1+D88)/(1+F88)-1</x:f>
        <x:v>-0.02237542340905274</x:v>
      </x:c>
    </x:row>
    <x:row r="89">
      <x:c r="A89" s="6" t="n">
        <x:v>37134</x:v>
      </x:c>
      <x:c r="B89" t="str">
        <x:f>IF(A89&lt;=DATE(2006,5,31),"MSCI ACWI GBP Net Return",IF(A89&lt;=DATE(2024,2,29),"Solactive GBS Global Markets L&amp;M GBP NTR","PACW actual grossed up by OCF"))</x:f>
        <x:v>MSCI ACWI GBP Net Return</x:v>
      </x:c>
      <x:c r="C89" s="8" t="n">
        <x:f>MSCI_ACWI!B89</x:f>
        <x:v>39895.74098484084</x:v>
      </x:c>
      <x:c r="D89" s="10" t="n">
        <x:f>MSCI_ACWI!C89</x:f>
        <x:v>-0.06685652104101603</x:v>
      </x:c>
      <x:c r="E89" s="12" t="n">
        <x:f>Sources!I89</x:f>
        <x:v>73.9</x:v>
      </x:c>
      <x:c r="F89" s="10" t="n">
        <x:f>E89/E88-1</x:f>
        <x:v>0.0040760869565219515</x:v>
      </x:c>
      <x:c r="G89" s="10" t="n">
        <x:f>(1+D89)/(1+F89)-1</x:f>
        <x:v>-0.07064465424382671</x:v>
      </x:c>
    </x:row>
    <x:row r="90">
      <x:c r="A90" s="6" t="n">
        <x:v>37164</x:v>
      </x:c>
      <x:c r="B90" t="str">
        <x:f>IF(A90&lt;=DATE(2006,5,31),"MSCI ACWI GBP Net Return",IF(A90&lt;=DATE(2024,2,29),"Solactive GBS Global Markets L&amp;M GBP NTR","PACW actual grossed up by OCF"))</x:f>
        <x:v>MSCI ACWI GBP Net Return</x:v>
      </x:c>
      <x:c r="C90" s="8" t="n">
        <x:f>MSCI_ACWI!B90</x:f>
        <x:v>35982.650275086795</x:v>
      </x:c>
      <x:c r="D90" s="10" t="n">
        <x:f>MSCI_ACWI!C90</x:f>
        <x:v>-0.09808291845590489</x:v>
      </x:c>
      <x:c r="E90" s="12" t="n">
        <x:f>Sources!I90</x:f>
        <x:v>74.1</x:v>
      </x:c>
      <x:c r="F90" s="10" t="n">
        <x:f>E90/E89-1</x:f>
        <x:v>0.0027063599458725385</x:v>
      </x:c>
      <x:c r="G90" s="10" t="n">
        <x:f>(1+D90)/(1+F90)-1</x:f>
        <x:v>-0.10051724256263639</x:v>
      </x:c>
    </x:row>
    <x:row r="91">
      <x:c r="A91" s="6" t="n">
        <x:v>37195</x:v>
      </x:c>
      <x:c r="B91" t="str">
        <x:f>IF(A91&lt;=DATE(2006,5,31),"MSCI ACWI GBP Net Return",IF(A91&lt;=DATE(2024,2,29),"Solactive GBS Global Markets L&amp;M GBP NTR","PACW actual grossed up by OCF"))</x:f>
        <x:v>MSCI ACWI GBP Net Return</x:v>
      </x:c>
      <x:c r="C91" s="8" t="n">
        <x:f>MSCI_ACWI!B91</x:f>
        <x:v>37067.20739272378</x:v>
      </x:c>
      <x:c r="D91" s="10" t="n">
        <x:f>MSCI_ACWI!C91</x:f>
        <x:v>0.03014111271253128</x:v>
      </x:c>
      <x:c r="E91" s="12" t="n">
        <x:f>Sources!I91</x:f>
        <x:v>73.9</x:v>
      </x:c>
      <x:c r="F91" s="10" t="n">
        <x:f>E91/E90-1</x:f>
        <x:v>-0.0026990553306340814</x:v>
      </x:c>
      <x:c r="G91" s="10" t="n">
        <x:f>(1+D91)/(1+F91)-1</x:f>
        <x:v>0.032929045358573106</x:v>
      </x:c>
    </x:row>
    <x:row r="92">
      <x:c r="A92" s="6" t="n">
        <x:v>37225</x:v>
      </x:c>
      <x:c r="B92" t="str">
        <x:f>IF(A92&lt;=DATE(2006,5,31),"MSCI ACWI GBP Net Return",IF(A92&lt;=DATE(2024,2,29),"Solactive GBS Global Markets L&amp;M GBP NTR","PACW actual grossed up by OCF"))</x:f>
        <x:v>MSCI ACWI GBP Net Return</x:v>
      </x:c>
      <x:c r="C92" s="8" t="n">
        <x:f>MSCI_ACWI!B92</x:f>
        <x:v>40144.49226255751</x:v>
      </x:c>
      <x:c r="D92" s="10" t="n">
        <x:f>MSCI_ACWI!C92</x:f>
        <x:v>0.08301906418873628</x:v>
      </x:c>
      <x:c r="E92" s="12" t="n">
        <x:f>Sources!I92</x:f>
        <x:v>73.8</x:v>
      </x:c>
      <x:c r="F92" s="10" t="n">
        <x:f>E92/E91-1</x:f>
        <x:v>-0.0013531799729364913</x:v>
      </x:c>
      <x:c r="G92" s="10" t="n">
        <x:f>(1+D92)/(1+F92)-1</x:f>
        <x:v>0.08448656969576729</x:v>
      </x:c>
    </x:row>
    <x:row r="93">
      <x:c r="A93" s="6" t="n">
        <x:v>37256</x:v>
      </x:c>
      <x:c r="B93" t="str">
        <x:f>IF(A93&lt;=DATE(2006,5,31),"MSCI ACWI GBP Net Return",IF(A93&lt;=DATE(2024,2,29),"Solactive GBS Global Markets L&amp;M GBP NTR","PACW actual grossed up by OCF"))</x:f>
        <x:v>MSCI ACWI GBP Net Return</x:v>
      </x:c>
      <x:c r="C93" s="8" t="n">
        <x:f>MSCI_ACWI!B93</x:f>
        <x:v>39908.13246904456</x:v>
      </x:c>
      <x:c r="D93" s="10" t="n">
        <x:f>MSCI_ACWI!C93</x:f>
        <x:v>-0.005887726564508089</x:v>
      </x:c>
      <x:c r="E93" s="12" t="n">
        <x:f>Sources!I93</x:f>
        <x:v>74</x:v>
      </x:c>
      <x:c r="F93" s="10" t="n">
        <x:f>E93/E92-1</x:f>
        <x:v>0.0027100271002711285</x:v>
      </x:c>
      <x:c r="G93" s="10" t="n">
        <x:f>(1+D93)/(1+F93)-1</x:f>
        <x:v>-0.008574516492712236</x:v>
      </x:c>
    </x:row>
    <x:row r="94">
      <x:c r="A94" s="6" t="n">
        <x:v>37287</x:v>
      </x:c>
      <x:c r="B94" t="str">
        <x:f>IF(A94&lt;=DATE(2006,5,31),"MSCI ACWI GBP Net Return",IF(A94&lt;=DATE(2024,2,29),"Solactive GBS Global Markets L&amp;M GBP NTR","PACW actual grossed up by OCF"))</x:f>
        <x:v>MSCI ACWI GBP Net Return</x:v>
      </x:c>
      <x:c r="C94" s="8" t="n">
        <x:f>MSCI_ACWI!B94</x:f>
        <x:v>39774.81269658436</x:v>
      </x:c>
      <x:c r="D94" s="10" t="n">
        <x:f>MSCI_ACWI!C94</x:f>
        <x:v>-0.0033406667817295066</x:v>
      </x:c>
      <x:c r="E94" s="12" t="n">
        <x:f>Sources!I94</x:f>
        <x:v>73.7</x:v>
      </x:c>
      <x:c r="F94" s="10" t="n">
        <x:f>E94/E93-1</x:f>
        <x:v>-0.004054054054054013</x:v>
      </x:c>
      <x:c r="G94" s="10" t="n">
        <x:f>(1+D94)/(1+F94)-1</x:f>
        <x:v>0.0007162911553868501</x:v>
      </x:c>
    </x:row>
    <x:row r="95">
      <x:c r="A95" s="6" t="n">
        <x:v>37315</x:v>
      </x:c>
      <x:c r="B95" t="str">
        <x:f>IF(A95&lt;=DATE(2006,5,31),"MSCI ACWI GBP Net Return",IF(A95&lt;=DATE(2024,2,29),"Solactive GBS Global Markets L&amp;M GBP NTR","PACW actual grossed up by OCF"))</x:f>
        <x:v>MSCI ACWI GBP Net Return</x:v>
      </x:c>
      <x:c r="C95" s="8" t="n">
        <x:f>MSCI_ACWI!B95</x:f>
        <x:v>39421.9727497168</x:v>
      </x:c>
      <x:c r="D95" s="10" t="n">
        <x:f>MSCI_ACWI!C95</x:f>
        <x:v>-0.008870939243866394</x:v>
      </x:c>
      <x:c r="E95" s="12" t="n">
        <x:f>Sources!I95</x:f>
        <x:v>73.8</x:v>
      </x:c>
      <x:c r="F95" s="10" t="n">
        <x:f>E95/E94-1</x:f>
        <x:v>0.0013568521031206426</x:v>
      </x:c>
      <x:c r="G95" s="10" t="n">
        <x:f>(1+D95)/(1+F95)-1</x:f>
        <x:v>-0.010213932551123905</x:v>
      </x:c>
    </x:row>
    <x:row r="96">
      <x:c r="A96" s="6" t="n">
        <x:v>37346</x:v>
      </x:c>
      <x:c r="B96" t="str">
        <x:f>IF(A96&lt;=DATE(2006,5,31),"MSCI ACWI GBP Net Return",IF(A96&lt;=DATE(2024,2,29),"Solactive GBS Global Markets L&amp;M GBP NTR","PACW actual grossed up by OCF"))</x:f>
        <x:v>MSCI ACWI GBP Net Return</x:v>
      </x:c>
      <x:c r="C96" s="8" t="n">
        <x:f>MSCI_ACWI!B96</x:f>
        <x:v>40981.12281496661</x:v>
      </x:c>
      <x:c r="D96" s="10" t="n">
        <x:f>MSCI_ACWI!C96</x:f>
        <x:v>0.03955028012293016</x:v>
      </x:c>
      <x:c r="E96" s="12" t="n">
        <x:f>Sources!I96</x:f>
        <x:v>74.1</x:v>
      </x:c>
      <x:c r="F96" s="10" t="n">
        <x:f>E96/E95-1</x:f>
        <x:v>0.00406504065040636</x:v>
      </x:c>
      <x:c r="G96" s="10" t="n">
        <x:f>(1+D96)/(1+F96)-1</x:f>
        <x:v>0.035341574535388</x:v>
      </x:c>
    </x:row>
    <x:row r="97">
      <x:c r="A97" s="6" t="n">
        <x:v>37376</x:v>
      </x:c>
      <x:c r="B97" t="str">
        <x:f>IF(A97&lt;=DATE(2006,5,31),"MSCI ACWI GBP Net Return",IF(A97&lt;=DATE(2024,2,29),"Solactive GBS Global Markets L&amp;M GBP NTR","PACW actual grossed up by OCF"))</x:f>
        <x:v>MSCI ACWI GBP Net Return</x:v>
      </x:c>
      <x:c r="C97" s="8" t="n">
        <x:f>MSCI_ACWI!B97</x:f>
        <x:v>38795.69696231672</x:v>
      </x:c>
      <x:c r="D97" s="10" t="n">
        <x:f>MSCI_ACWI!C97</x:f>
        <x:v>-0.053327622635360394</x:v>
      </x:c>
      <x:c r="E97" s="12" t="n">
        <x:f>Sources!I97</x:f>
        <x:v>74.4</x:v>
      </x:c>
      <x:c r="F97" s="10" t="n">
        <x:f>E97/E96-1</x:f>
        <x:v>0.004048582995951566</x:v>
      </x:c>
      <x:c r="G97" s="10" t="n">
        <x:f>(1+D97)/(1+F97)-1</x:f>
        <x:v>-0.05714484996344371</x:v>
      </x:c>
    </x:row>
    <x:row r="98">
      <x:c r="A98" s="6" t="n">
        <x:v>37407</x:v>
      </x:c>
      <x:c r="B98" t="str">
        <x:f>IF(A98&lt;=DATE(2006,5,31),"MSCI ACWI GBP Net Return",IF(A98&lt;=DATE(2024,2,29),"Solactive GBS Global Markets L&amp;M GBP NTR","PACW actual grossed up by OCF"))</x:f>
        <x:v>MSCI ACWI GBP Net Return</x:v>
      </x:c>
      <x:c r="C98" s="8" t="n">
        <x:f>MSCI_ACWI!B98</x:f>
        <x:v>38589.324793307016</x:v>
      </x:c>
      <x:c r="D98" s="10" t="n">
        <x:f>MSCI_ACWI!C98</x:f>
        <x:v>-0.0053194602795808565</x:v>
      </x:c>
      <x:c r="E98" s="12" t="n">
        <x:f>Sources!I98</x:f>
        <x:v>74.6</x:v>
      </x:c>
      <x:c r="F98" s="10" t="n">
        <x:f>E98/E97-1</x:f>
        <x:v>0.0026881720430105283</x:v>
      </x:c>
      <x:c r="G98" s="10" t="n">
        <x:f>(1+D98)/(1+F98)-1</x:f>
        <x:v>-0.007986164139420882</x:v>
      </x:c>
    </x:row>
    <x:row r="99">
      <x:c r="A99" s="6" t="n">
        <x:v>37437</x:v>
      </x:c>
      <x:c r="B99" t="str">
        <x:f>IF(A99&lt;=DATE(2006,5,31),"MSCI ACWI GBP Net Return",IF(A99&lt;=DATE(2024,2,29),"Solactive GBS Global Markets L&amp;M GBP NTR","PACW actual grossed up by OCF"))</x:f>
        <x:v>MSCI ACWI GBP Net Return</x:v>
      </x:c>
      <x:c r="C99" s="8" t="n">
        <x:f>MSCI_ACWI!B99</x:f>
        <x:v>34593.55865999933</x:v>
      </x:c>
      <x:c r="D99" s="10" t="n">
        <x:f>MSCI_ACWI!C99</x:f>
        <x:v>-0.10354589396704639</x:v>
      </x:c>
      <x:c r="E99" s="12" t="n">
        <x:f>Sources!I99</x:f>
        <x:v>74.6</x:v>
      </x:c>
      <x:c r="F99" s="10" t="n">
        <x:f>E99/E98-1</x:f>
        <x:v>0</x:v>
      </x:c>
      <x:c r="G99" s="10" t="n">
        <x:f>(1+D99)/(1+F99)-1</x:f>
        <x:v>-0.10354589396704639</x:v>
      </x:c>
    </x:row>
    <x:row r="100">
      <x:c r="A100" s="6" t="n">
        <x:v>37468</x:v>
      </x:c>
      <x:c r="B100" t="str">
        <x:f>IF(A100&lt;=DATE(2006,5,31),"MSCI ACWI GBP Net Return",IF(A100&lt;=DATE(2024,2,29),"Solactive GBS Global Markets L&amp;M GBP NTR","PACW actual grossed up by OCF"))</x:f>
        <x:v>MSCI ACWI GBP Net Return</x:v>
      </x:c>
      <x:c r="C100" s="8" t="n">
        <x:f>MSCI_ACWI!B100</x:f>
        <x:v>31135.82754368112</x:v>
      </x:c>
      <x:c r="D100" s="10" t="n">
        <x:f>MSCI_ACWI!C100</x:f>
        <x:v>-0.0999530331730919</x:v>
      </x:c>
      <x:c r="E100" s="12" t="n">
        <x:f>Sources!I100</x:f>
        <x:v>74.4</x:v>
      </x:c>
      <x:c r="F100" s="10" t="n">
        <x:f>E100/E99-1</x:f>
        <x:v>-0.002680965147452974</x:v>
      </x:c>
      <x:c r="G100" s="10" t="n">
        <x:f>(1+D100)/(1+F100)-1</x:f>
        <x:v>-0.09753355207947123</x:v>
      </x:c>
    </x:row>
    <x:row r="101">
      <x:c r="A101" s="6" t="n">
        <x:v>37499</x:v>
      </x:c>
      <x:c r="B101" t="str">
        <x:f>IF(A101&lt;=DATE(2006,5,31),"MSCI ACWI GBP Net Return",IF(A101&lt;=DATE(2024,2,29),"Solactive GBS Global Markets L&amp;M GBP NTR","PACW actual grossed up by OCF"))</x:f>
        <x:v>MSCI ACWI GBP Net Return</x:v>
      </x:c>
      <x:c r="C101" s="8" t="n">
        <x:f>MSCI_ACWI!B101</x:f>
        <x:v>31508.986319252544</x:v>
      </x:c>
      <x:c r="D101" s="10" t="n">
        <x:f>MSCI_ACWI!C101</x:f>
        <x:v>0.011984867755575612</x:v>
      </x:c>
      <x:c r="E101" s="12" t="n">
        <x:f>Sources!I101</x:f>
        <x:v>74.6</x:v>
      </x:c>
      <x:c r="F101" s="10" t="n">
        <x:f>E101/E100-1</x:f>
        <x:v>0.0026881720430105283</x:v>
      </x:c>
      <x:c r="G101" s="10" t="n">
        <x:f>(1+D101)/(1+F101)-1</x:f>
        <x:v>0.00927177159537318</x:v>
      </x:c>
    </x:row>
    <x:row r="102">
      <x:c r="A102" s="6" t="n">
        <x:v>37529</x:v>
      </x:c>
      <x:c r="B102" t="str">
        <x:f>IF(A102&lt;=DATE(2006,5,31),"MSCI ACWI GBP Net Return",IF(A102&lt;=DATE(2024,2,29),"Solactive GBS Global Markets L&amp;M GBP NTR","PACW actual grossed up by OCF"))</x:f>
        <x:v>MSCI ACWI GBP Net Return</x:v>
      </x:c>
      <x:c r="C102" s="8" t="n">
        <x:f>MSCI_ACWI!B102</x:f>
        <x:v>27725.128148376058</x:v>
      </x:c>
      <x:c r="D102" s="10" t="n">
        <x:f>MSCI_ACWI!C102</x:f>
        <x:v>-0.1200882228497615</x:v>
      </x:c>
      <x:c r="E102" s="12" t="n">
        <x:f>Sources!I102</x:f>
        <x:v>74.8</x:v>
      </x:c>
      <x:c r="F102" s="10" t="n">
        <x:f>E102/E101-1</x:f>
        <x:v>0.002680965147453085</x:v>
      </x:c>
      <x:c r="G102" s="10" t="n">
        <x:f>(1+D102)/(1+F102)-1</x:f>
        <x:v>-0.12244092813625951</x:v>
      </x:c>
    </x:row>
    <x:row r="103">
      <x:c r="A103" s="6" t="n">
        <x:v>37560</x:v>
      </x:c>
      <x:c r="B103" t="str">
        <x:f>IF(A103&lt;=DATE(2006,5,31),"MSCI ACWI GBP Net Return",IF(A103&lt;=DATE(2024,2,29),"Solactive GBS Global Markets L&amp;M GBP NTR","PACW actual grossed up by OCF"))</x:f>
        <x:v>MSCI ACWI GBP Net Return</x:v>
      </x:c>
      <x:c r="C103" s="8" t="n">
        <x:f>MSCI_ACWI!B103</x:f>
        <x:v>29901.206691124364</x:v>
      </x:c>
      <x:c r="D103" s="10" t="n">
        <x:f>MSCI_ACWI!C103</x:f>
        <x:v>0.07848759187343068</x:v>
      </x:c>
      <x:c r="E103" s="12" t="n">
        <x:f>Sources!I103</x:f>
        <x:v>74.9</x:v>
      </x:c>
      <x:c r="F103" s="10" t="n">
        <x:f>E103/E102-1</x:f>
        <x:v>0.0013368983957220415</x:v>
      </x:c>
      <x:c r="G103" s="10" t="n">
        <x:f>(1+D103)/(1+F103)-1</x:f>
        <x:v>0.0770476885464968</x:v>
      </x:c>
    </x:row>
    <x:row r="104">
      <x:c r="A104" s="6" t="n">
        <x:v>37590</x:v>
      </x:c>
      <x:c r="B104" t="str">
        <x:f>IF(A104&lt;=DATE(2006,5,31),"MSCI ACWI GBP Net Return",IF(A104&lt;=DATE(2024,2,29),"Solactive GBS Global Markets L&amp;M GBP NTR","PACW actual grossed up by OCF"))</x:f>
        <x:v>MSCI ACWI GBP Net Return</x:v>
      </x:c>
      <x:c r="C104" s="8" t="n">
        <x:f>MSCI_ACWI!B104</x:f>
        <x:v>31678.479124158697</x:v>
      </x:c>
      <x:c r="D104" s="10" t="n">
        <x:f>MSCI_ACWI!C104</x:f>
        <x:v>0.05943815082091275</x:v>
      </x:c>
      <x:c r="E104" s="12" t="n">
        <x:f>Sources!I104</x:f>
        <x:v>74.9</x:v>
      </x:c>
      <x:c r="F104" s="10" t="n">
        <x:f>E104/E103-1</x:f>
        <x:v>0</x:v>
      </x:c>
      <x:c r="G104" s="10" t="n">
        <x:f>(1+D104)/(1+F104)-1</x:f>
        <x:v>0.05943815082091275</x:v>
      </x:c>
    </x:row>
    <x:row r="105">
      <x:c r="A105" s="6" t="n">
        <x:v>37621</x:v>
      </x:c>
      <x:c r="B105" t="str">
        <x:f>IF(A105&lt;=DATE(2006,5,31),"MSCI ACWI GBP Net Return",IF(A105&lt;=DATE(2024,2,29),"Solactive GBS Global Markets L&amp;M GBP NTR","PACW actual grossed up by OCF"))</x:f>
        <x:v>MSCI ACWI GBP Net Return</x:v>
      </x:c>
      <x:c r="C105" s="8" t="n">
        <x:f>MSCI_ACWI!B105</x:f>
        <x:v>29048.42295883246</x:v>
      </x:c>
      <x:c r="D105" s="10" t="n">
        <x:f>MSCI_ACWI!C105</x:f>
        <x:v>-0.08302343540604196</x:v>
      </x:c>
      <x:c r="E105" s="12" t="n">
        <x:f>Sources!I105</x:f>
        <x:v>75.2</x:v>
      </x:c>
      <x:c r="F105" s="10" t="n">
        <x:f>E105/E104-1</x:f>
        <x:v>0.004005340453938633</x:v>
      </x:c>
      <x:c r="G105" s="10" t="n">
        <x:f>(1+D105)/(1+F105)-1</x:f>
        <x:v>-0.0866815865945817</x:v>
      </x:c>
    </x:row>
    <x:row r="106">
      <x:c r="A106" s="6" t="n">
        <x:v>37652</x:v>
      </x:c>
      <x:c r="B106" t="str">
        <x:f>IF(A106&lt;=DATE(2006,5,31),"MSCI ACWI GBP Net Return",IF(A106&lt;=DATE(2024,2,29),"Solactive GBS Global Markets L&amp;M GBP NTR","PACW actual grossed up by OCF"))</x:f>
        <x:v>MSCI ACWI GBP Net Return</x:v>
      </x:c>
      <x:c r="C106" s="8" t="n">
        <x:f>MSCI_ACWI!B106</x:f>
        <x:v>27561.40749715288</x:v>
      </x:c>
      <x:c r="D106" s="10" t="n">
        <x:f>MSCI_ACWI!C106</x:f>
        <x:v>-0.051190918824990383</x:v>
      </x:c>
      <x:c r="E106" s="12" t="n">
        <x:f>Sources!I106</x:f>
        <x:v>74.7</x:v>
      </x:c>
      <x:c r="F106" s="10" t="n">
        <x:f>E106/E105-1</x:f>
        <x:v>-0.0066489361702127825</x:v>
      </x:c>
      <x:c r="G106" s="10" t="n">
        <x:f>(1+D106)/(1+F106)-1</x:f>
        <x:v>-0.04484012176223928</x:v>
      </x:c>
    </x:row>
    <x:row r="107">
      <x:c r="A107" s="6" t="n">
        <x:v>37680</x:v>
      </x:c>
      <x:c r="B107" t="str">
        <x:f>IF(A107&lt;=DATE(2006,5,31),"MSCI ACWI GBP Net Return",IF(A107&lt;=DATE(2024,2,29),"Solactive GBS Global Markets L&amp;M GBP NTR","PACW actual grossed up by OCF"))</x:f>
        <x:v>MSCI ACWI GBP Net Return</x:v>
      </x:c>
      <x:c r="C107" s="8" t="n">
        <x:f>MSCI_ACWI!B107</x:f>
        <x:v>28344.458589191967</x:v>
      </x:c>
      <x:c r="D107" s="10" t="n">
        <x:f>MSCI_ACWI!C107</x:f>
        <x:v>0.0284111430854892</x:v>
      </x:c>
      <x:c r="E107" s="12" t="n">
        <x:f>Sources!I107</x:f>
        <x:v>75</x:v>
      </x:c>
      <x:c r="F107" s="10" t="n">
        <x:f>E107/E106-1</x:f>
        <x:v>0.004016064257028162</x:v>
      </x:c>
      <x:c r="G107" s="10" t="n">
        <x:f>(1+D107)/(1+F107)-1</x:f>
        <x:v>0.02429749851314722</x:v>
      </x:c>
    </x:row>
    <x:row r="108">
      <x:c r="A108" s="6" t="n">
        <x:v>37711</x:v>
      </x:c>
      <x:c r="B108" t="str">
        <x:f>IF(A108&lt;=DATE(2006,5,31),"MSCI ACWI GBP Net Return",IF(A108&lt;=DATE(2024,2,29),"Solactive GBS Global Markets L&amp;M GBP NTR","PACW actual grossed up by OCF"))</x:f>
        <x:v>MSCI ACWI GBP Net Return</x:v>
      </x:c>
      <x:c r="C108" s="8" t="n">
        <x:f>MSCI_ACWI!B108</x:f>
        <x:v>28165.0021626225</x:v>
      </x:c>
      <x:c r="D108" s="10" t="n">
        <x:f>MSCI_ACWI!C108</x:f>
        <x:v>-0.006331270220059748</x:v>
      </x:c>
      <x:c r="E108" s="12" t="n">
        <x:f>Sources!I108</x:f>
        <x:v>75.3</x:v>
      </x:c>
      <x:c r="F108" s="10" t="n">
        <x:f>E108/E107-1</x:f>
        <x:v>0.0040000000000000036</x:v>
      </x:c>
      <x:c r="G108" s="10" t="n">
        <x:f>(1+D108)/(1+F108)-1</x:f>
        <x:v>-0.01029010978093603</x:v>
      </x:c>
    </x:row>
    <x:row r="109">
      <x:c r="A109" s="6" t="n">
        <x:v>37741</x:v>
      </x:c>
      <x:c r="B109" t="str">
        <x:f>IF(A109&lt;=DATE(2006,5,31),"MSCI ACWI GBP Net Return",IF(A109&lt;=DATE(2024,2,29),"Solactive GBS Global Markets L&amp;M GBP NTR","PACW actual grossed up by OCF"))</x:f>
        <x:v>MSCI ACWI GBP Net Return</x:v>
      </x:c>
      <x:c r="C109" s="8" t="n">
        <x:f>MSCI_ACWI!B109</x:f>
        <x:v>30351.96641907053</x:v>
      </x:c>
      <x:c r="D109" s="10" t="n">
        <x:f>MSCI_ACWI!C109</x:f>
        <x:v>0.0776482900239337</x:v>
      </x:c>
      <x:c r="E109" s="12" t="n">
        <x:f>Sources!I109</x:f>
        <x:v>75.5</x:v>
      </x:c>
      <x:c r="F109" s="10" t="n">
        <x:f>E109/E108-1</x:f>
        <x:v>0.0026560424966799445</x:v>
      </x:c>
      <x:c r="G109" s="10" t="n">
        <x:f>(1+D109)/(1+F109)-1</x:f>
        <x:v>0.07479359256691676</x:v>
      </x:c>
    </x:row>
    <x:row r="110">
      <x:c r="A110" s="6" t="n">
        <x:v>37772</x:v>
      </x:c>
      <x:c r="B110" t="str">
        <x:f>IF(A110&lt;=DATE(2006,5,31),"MSCI ACWI GBP Net Return",IF(A110&lt;=DATE(2024,2,29),"Solactive GBS Global Markets L&amp;M GBP NTR","PACW actual grossed up by OCF"))</x:f>
        <x:v>MSCI ACWI GBP Net Return</x:v>
      </x:c>
      <x:c r="C110" s="8" t="n">
        <x:f>MSCI_ACWI!B110</x:f>
        <x:v>31221.476309588645</x:v>
      </x:c>
      <x:c r="D110" s="10" t="n">
        <x:f>MSCI_ACWI!C110</x:f>
        <x:v>0.028647563670596066</x:v>
      </x:c>
      <x:c r="E110" s="12" t="n">
        <x:f>Sources!I110</x:f>
        <x:v>75.5</x:v>
      </x:c>
      <x:c r="F110" s="10" t="n">
        <x:f>E110/E109-1</x:f>
        <x:v>0</x:v>
      </x:c>
      <x:c r="G110" s="10" t="n">
        <x:f>(1+D110)/(1+F110)-1</x:f>
        <x:v>0.028647563670596066</x:v>
      </x:c>
    </x:row>
    <x:row r="111">
      <x:c r="A111" s="6" t="n">
        <x:v>37802</x:v>
      </x:c>
      <x:c r="B111" t="str">
        <x:f>IF(A111&lt;=DATE(2006,5,31),"MSCI ACWI GBP Net Return",IF(A111&lt;=DATE(2024,2,29),"Solactive GBS Global Markets L&amp;M GBP NTR","PACW actual grossed up by OCF"))</x:f>
        <x:v>MSCI ACWI GBP Net Return</x:v>
      </x:c>
      <x:c r="C111" s="8" t="n">
        <x:f>MSCI_ACWI!B111</x:f>
        <x:v>31713.30520581032</x:v>
      </x:c>
      <x:c r="D111" s="10" t="n">
        <x:f>MSCI_ACWI!C111</x:f>
        <x:v>0.015752903269043328</x:v>
      </x:c>
      <x:c r="E111" s="12" t="n">
        <x:f>Sources!I111</x:f>
        <x:v>75.4</x:v>
      </x:c>
      <x:c r="F111" s="10" t="n">
        <x:f>E111/E110-1</x:f>
        <x:v>-0.0013245033112582183</x:v>
      </x:c>
      <x:c r="G111" s="10" t="n">
        <x:f>(1+D111)/(1+F111)-1</x:f>
        <x:v>0.017100055660646873</x:v>
      </x:c>
    </x:row>
    <x:row r="112">
      <x:c r="A112" s="6" t="n">
        <x:v>37833</x:v>
      </x:c>
      <x:c r="B112" t="str">
        <x:f>IF(A112&lt;=DATE(2006,5,31),"MSCI ACWI GBP Net Return",IF(A112&lt;=DATE(2024,2,29),"Solactive GBS Global Markets L&amp;M GBP NTR","PACW actual grossed up by OCF"))</x:f>
        <x:v>MSCI ACWI GBP Net Return</x:v>
      </x:c>
      <x:c r="C112" s="8" t="n">
        <x:f>MSCI_ACWI!B112</x:f>
        <x:v>33140.028761366186</x:v>
      </x:c>
      <x:c r="D112" s="10" t="n">
        <x:f>MSCI_ACWI!C112</x:f>
        <x:v>0.044988169675057144</x:v>
      </x:c>
      <x:c r="E112" s="12" t="n">
        <x:f>Sources!I112</x:f>
        <x:v>75.3</x:v>
      </x:c>
      <x:c r="F112" s="10" t="n">
        <x:f>E112/E111-1</x:f>
        <x:v>-0.0013262599469496816</x:v>
      </x:c>
      <x:c r="G112" s="10" t="n">
        <x:f>(1+D112)/(1+F112)-1</x:f>
        <x:v>0.046375936168649545</x:v>
      </x:c>
    </x:row>
    <x:row r="113">
      <x:c r="A113" s="6" t="n">
        <x:v>37864</x:v>
      </x:c>
      <x:c r="B113" t="str">
        <x:f>IF(A113&lt;=DATE(2006,5,31),"MSCI ACWI GBP Net Return",IF(A113&lt;=DATE(2024,2,29),"Solactive GBS Global Markets L&amp;M GBP NTR","PACW actual grossed up by OCF"))</x:f>
        <x:v>MSCI ACWI GBP Net Return</x:v>
      </x:c>
      <x:c r="C113" s="8" t="n">
        <x:f>MSCI_ACWI!B113</x:f>
        <x:v>34675.09277488576</x:v>
      </x:c>
      <x:c r="D113" s="10" t="n">
        <x:f>MSCI_ACWI!C113</x:f>
        <x:v>0.04632053956782056</x:v>
      </x:c>
      <x:c r="E113" s="12" t="n">
        <x:f>Sources!I113</x:f>
        <x:v>75.6</x:v>
      </x:c>
      <x:c r="F113" s="10" t="n">
        <x:f>E113/E112-1</x:f>
        <x:v>0.003984063745019917</x:v>
      </x:c>
      <x:c r="G113" s="10" t="n">
        <x:f>(1+D113)/(1+F113)-1</x:f>
        <x:v>0.04216847393461487</x:v>
      </x:c>
    </x:row>
    <x:row r="114">
      <x:c r="A114" s="6" t="n">
        <x:v>37894</x:v>
      </x:c>
      <x:c r="B114" t="str">
        <x:f>IF(A114&lt;=DATE(2006,5,31),"MSCI ACWI GBP Net Return",IF(A114&lt;=DATE(2024,2,29),"Solactive GBS Global Markets L&amp;M GBP NTR","PACW actual grossed up by OCF"))</x:f>
        <x:v>MSCI ACWI GBP Net Return</x:v>
      </x:c>
      <x:c r="C114" s="8" t="n">
        <x:f>MSCI_ACWI!B114</x:f>
        <x:v>33008.769686380714</x:v>
      </x:c>
      <x:c r="D114" s="10" t="n">
        <x:f>MSCI_ACWI!C114</x:f>
        <x:v>-0.04805533180034971</x:v>
      </x:c>
      <x:c r="E114" s="12" t="n">
        <x:f>Sources!I114</x:f>
        <x:v>75.9</x:v>
      </x:c>
      <x:c r="F114" s="10" t="n">
        <x:f>E114/E113-1</x:f>
        <x:v>0.003968253968254176</x:v>
      </x:c>
      <x:c r="G114" s="10" t="n">
        <x:f>(1+D114)/(1+F114)-1</x:f>
        <x:v>-0.05181795894738406</x:v>
      </x:c>
    </x:row>
    <x:row r="115">
      <x:c r="A115" s="6" t="n">
        <x:v>37925</x:v>
      </x:c>
      <x:c r="B115" t="str">
        <x:f>IF(A115&lt;=DATE(2006,5,31),"MSCI ACWI GBP Net Return",IF(A115&lt;=DATE(2024,2,29),"Solactive GBS Global Markets L&amp;M GBP NTR","PACW actual grossed up by OCF"))</x:f>
        <x:v>MSCI ACWI GBP Net Return</x:v>
      </x:c>
      <x:c r="C115" s="8" t="n">
        <x:f>MSCI_ACWI!B115</x:f>
        <x:v>34483.56508368244</x:v>
      </x:c>
      <x:c r="D115" s="10" t="n">
        <x:f>MSCI_ACWI!C115</x:f>
        <x:v>0.044678896284650715</x:v>
      </x:c>
      <x:c r="E115" s="12" t="n">
        <x:f>Sources!I115</x:f>
        <x:v>76</x:v>
      </x:c>
      <x:c r="F115" s="10" t="n">
        <x:f>E115/E114-1</x:f>
        <x:v>0.0013175230566533358</x:v>
      </x:c>
      <x:c r="G115" s="10" t="n">
        <x:f>(1+D115)/(1+F115)-1</x:f>
        <x:v>0.04330431878953944</x:v>
      </x:c>
    </x:row>
    <x:row r="116">
      <x:c r="A116" s="6" t="n">
        <x:v>37955</x:v>
      </x:c>
      <x:c r="B116" t="str">
        <x:f>IF(A116&lt;=DATE(2006,5,31),"MSCI ACWI GBP Net Return",IF(A116&lt;=DATE(2024,2,29),"Solactive GBS Global Markets L&amp;M GBP NTR","PACW actual grossed up by OCF"))</x:f>
        <x:v>MSCI ACWI GBP Net Return</x:v>
      </x:c>
      <x:c r="C116" s="8" t="n">
        <x:f>MSCI_ACWI!B116</x:f>
        <x:v>34459.83401536753</x:v>
      </x:c>
      <x:c r="D116" s="10" t="n">
        <x:f>MSCI_ACWI!C116</x:f>
        <x:v>-0.0006881848862587692</x:v>
      </x:c>
      <x:c r="E116" s="12" t="n">
        <x:f>Sources!I116</x:f>
        <x:v>75.9</x:v>
      </x:c>
      <x:c r="F116" s="10" t="n">
        <x:f>E116/E115-1</x:f>
        <x:v>-0.001315789473684159</x:v>
      </x:c>
      <x:c r="G116" s="10" t="n">
        <x:f>(1+D116)/(1+F116)-1</x:f>
        <x:v>0.0006284314709397165</x:v>
      </x:c>
    </x:row>
    <x:row r="117">
      <x:c r="A117" s="6" t="n">
        <x:v>37986</x:v>
      </x:c>
      <x:c r="B117" t="str">
        <x:f>IF(A117&lt;=DATE(2006,5,31),"MSCI ACWI GBP Net Return",IF(A117&lt;=DATE(2024,2,29),"Solactive GBS Global Markets L&amp;M GBP NTR","PACW actual grossed up by OCF"))</x:f>
        <x:v>MSCI ACWI GBP Net Return</x:v>
      </x:c>
      <x:c r="C117" s="8" t="n">
        <x:f>MSCI_ACWI!B117</x:f>
        <x:v>35183.98214916218</x:v>
      </x:c>
      <x:c r="D117" s="10" t="n">
        <x:f>MSCI_ACWI!C117</x:f>
        <x:v>0.02101426644921478</x:v>
      </x:c>
      <x:c r="E117" s="12" t="n">
        <x:f>Sources!I117</x:f>
        <x:v>76.2</x:v>
      </x:c>
      <x:c r="F117" s="10" t="n">
        <x:f>E117/E116-1</x:f>
        <x:v>0.0039525691699604515</x:v>
      </x:c>
      <x:c r="G117" s="10" t="n">
        <x:f>(1+D117)/(1+F117)-1</x:f>
        <x:v>0.016994525242721936</x:v>
      </x:c>
    </x:row>
    <x:row r="118">
      <x:c r="A118" s="6" t="n">
        <x:v>38017</x:v>
      </x:c>
      <x:c r="B118" t="str">
        <x:f>IF(A118&lt;=DATE(2006,5,31),"MSCI ACWI GBP Net Return",IF(A118&lt;=DATE(2024,2,29),"Solactive GBS Global Markets L&amp;M GBP NTR","PACW actual grossed up by OCF"))</x:f>
        <x:v>MSCI ACWI GBP Net Return</x:v>
      </x:c>
      <x:c r="C118" s="8" t="n">
        <x:f>MSCI_ACWI!B118</x:f>
        <x:v>35451.76477099539</x:v>
      </x:c>
      <x:c r="D118" s="10" t="n">
        <x:f>MSCI_ACWI!C118</x:f>
        <x:v>0.007610924218240944</x:v>
      </x:c>
      <x:c r="E118" s="12" t="n">
        <x:f>Sources!I118</x:f>
        <x:v>75.8</x:v>
      </x:c>
      <x:c r="F118" s="10" t="n">
        <x:f>E118/E117-1</x:f>
        <x:v>-0.005249343832021025</x:v>
      </x:c>
      <x:c r="G118" s="10" t="n">
        <x:f>(1+D118)/(1+F118)-1</x:f>
        <x:v>0.012928132261609049</x:v>
      </x:c>
    </x:row>
    <x:row r="119">
      <x:c r="A119" s="6" t="n">
        <x:v>38046</x:v>
      </x:c>
      <x:c r="B119" t="str">
        <x:f>IF(A119&lt;=DATE(2006,5,31),"MSCI ACWI GBP Net Return",IF(A119&lt;=DATE(2024,2,29),"Solactive GBS Global Markets L&amp;M GBP NTR","PACW actual grossed up by OCF"))</x:f>
        <x:v>MSCI ACWI GBP Net Return</x:v>
      </x:c>
      <x:c r="C119" s="8" t="n">
        <x:f>MSCI_ACWI!B119</x:f>
        <x:v>35239.22916499339</x:v>
      </x:c>
      <x:c r="D119" s="10" t="n">
        <x:f>MSCI_ACWI!C119</x:f>
        <x:v>-0.005995064205545075</x:v>
      </x:c>
      <x:c r="E119" s="12" t="n">
        <x:f>Sources!I119</x:f>
        <x:v>76</x:v>
      </x:c>
      <x:c r="F119" s="10" t="n">
        <x:f>E119/E118-1</x:f>
        <x:v>0.0026385224274407815</x:v>
      </x:c>
      <x:c r="G119" s="10" t="n">
        <x:f>(1+D119)/(1+F119)-1</x:f>
        <x:v>-0.008610866668162243</x:v>
      </x:c>
    </x:row>
    <x:row r="120">
      <x:c r="A120" s="6" t="n">
        <x:v>38077</x:v>
      </x:c>
      <x:c r="B120" t="str">
        <x:f>IF(A120&lt;=DATE(2006,5,31),"MSCI ACWI GBP Net Return",IF(A120&lt;=DATE(2024,2,29),"Solactive GBS Global Markets L&amp;M GBP NTR","PACW actual grossed up by OCF"))</x:f>
        <x:v>MSCI ACWI GBP Net Return</x:v>
      </x:c>
      <x:c r="C120" s="8" t="n">
        <x:f>MSCI_ACWI!B120</x:f>
        <x:v>35389.96415582249</x:v>
      </x:c>
      <x:c r="D120" s="10" t="n">
        <x:f>MSCI_ACWI!C120</x:f>
        <x:v>0.004277476959650306</x:v>
      </x:c>
      <x:c r="E120" s="12" t="n">
        <x:f>Sources!I120</x:f>
        <x:v>76.1</x:v>
      </x:c>
      <x:c r="F120" s="10" t="n">
        <x:f>E120/E119-1</x:f>
        <x:v>0.001315789473684159</x:v>
      </x:c>
      <x:c r="G120" s="10" t="n">
        <x:f>(1+D120)/(1+F120)-1</x:f>
        <x:v>0.0029577956495852042</x:v>
      </x:c>
    </x:row>
    <x:row r="121">
      <x:c r="A121" s="6" t="n">
        <x:v>38107</x:v>
      </x:c>
      <x:c r="B121" t="str">
        <x:f>IF(A121&lt;=DATE(2006,5,31),"MSCI ACWI GBP Net Return",IF(A121&lt;=DATE(2024,2,29),"Solactive GBS Global Markets L&amp;M GBP NTR","PACW actual grossed up by OCF"))</x:f>
        <x:v>MSCI ACWI GBP Net Return</x:v>
      </x:c>
      <x:c r="C121" s="8" t="n">
        <x:f>MSCI_ACWI!B121</x:f>
        <x:v>35793.73036148652</x:v>
      </x:c>
      <x:c r="D121" s="10" t="n">
        <x:f>MSCI_ACWI!C121</x:f>
        <x:v>0.011409059469126515</x:v>
      </x:c>
      <x:c r="E121" s="12" t="n">
        <x:f>Sources!I121</x:f>
        <x:v>76.4</x:v>
      </x:c>
      <x:c r="F121" s="10" t="n">
        <x:f>E121/E120-1</x:f>
        <x:v>0.003942181340341744</x:v>
      </x:c>
      <x:c r="G121" s="10" t="n">
        <x:f>(1+D121)/(1+F121)-1</x:f>
        <x:v>0.007437557926708305</x:v>
      </x:c>
    </x:row>
    <x:row r="122">
      <x:c r="A122" s="6" t="n">
        <x:v>38138</x:v>
      </x:c>
      <x:c r="B122" t="str">
        <x:f>IF(A122&lt;=DATE(2006,5,31),"MSCI ACWI GBP Net Return",IF(A122&lt;=DATE(2024,2,29),"Solactive GBS Global Markets L&amp;M GBP NTR","PACW actual grossed up by OCF"))</x:f>
        <x:v>MSCI ACWI GBP Net Return</x:v>
      </x:c>
      <x:c r="C122" s="8" t="n">
        <x:f>MSCI_ACWI!B122</x:f>
        <x:v>34883.26821905551</x:v>
      </x:c>
      <x:c r="D122" s="10" t="n">
        <x:f>MSCI_ACWI!C122</x:f>
        <x:v>-0.025436358078247512</x:v>
      </x:c>
      <x:c r="E122" s="12" t="n">
        <x:f>Sources!I122</x:f>
        <x:v>76.6</x:v>
      </x:c>
      <x:c r="F122" s="10" t="n">
        <x:f>E122/E121-1</x:f>
        <x:v>0.002617801047120283</x:v>
      </x:c>
      <x:c r="G122" s="10" t="n">
        <x:f>(1+D122)/(1+F122)-1</x:f>
        <x:v>-0.02798091066812136</x:v>
      </x:c>
    </x:row>
    <x:row r="123">
      <x:c r="A123" s="6" t="n">
        <x:v>38168</x:v>
      </x:c>
      <x:c r="B123" t="str">
        <x:f>IF(A123&lt;=DATE(2006,5,31),"MSCI ACWI GBP Net Return",IF(A123&lt;=DATE(2024,2,29),"Solactive GBS Global Markets L&amp;M GBP NTR","PACW actual grossed up by OCF"))</x:f>
        <x:v>MSCI ACWI GBP Net Return</x:v>
      </x:c>
      <x:c r="C123" s="8" t="n">
        <x:f>MSCI_ACWI!B123</x:f>
        <x:v>36036.51524343327</x:v>
      </x:c>
      <x:c r="D123" s="10" t="n">
        <x:f>MSCI_ACWI!C123</x:f>
        <x:v>0.0330601770778971</x:v>
      </x:c>
      <x:c r="E123" s="12" t="n">
        <x:f>Sources!I123</x:f>
        <x:v>76.6</x:v>
      </x:c>
      <x:c r="F123" s="10" t="n">
        <x:f>E123/E122-1</x:f>
        <x:v>0</x:v>
      </x:c>
      <x:c r="G123" s="10" t="n">
        <x:f>(1+D123)/(1+F123)-1</x:f>
        <x:v>0.0330601770778971</x:v>
      </x:c>
    </x:row>
    <x:row r="124">
      <x:c r="A124" s="6" t="n">
        <x:v>38199</x:v>
      </x:c>
      <x:c r="B124" t="str">
        <x:f>IF(A124&lt;=DATE(2006,5,31),"MSCI ACWI GBP Net Return",IF(A124&lt;=DATE(2024,2,29),"Solactive GBS Global Markets L&amp;M GBP NTR","PACW actual grossed up by OCF"))</x:f>
        <x:v>MSCI ACWI GBP Net Return</x:v>
      </x:c>
      <x:c r="C124" s="8" t="n">
        <x:f>MSCI_ACWI!B124</x:f>
        <x:v>34798.882014856004</x:v>
      </x:c>
      <x:c r="D124" s="10" t="n">
        <x:f>MSCI_ACWI!C124</x:f>
        <x:v>-0.03434386538811607</x:v>
      </x:c>
      <x:c r="E124" s="12" t="n">
        <x:f>Sources!I124</x:f>
        <x:v>76.4</x:v>
      </x:c>
      <x:c r="F124" s="10" t="n">
        <x:f>E124/E123-1</x:f>
        <x:v>-0.0026109660574411553</x:v>
      </x:c>
      <x:c r="G124" s="10" t="n">
        <x:f>(1+D124)/(1+F124)-1</x:f>
        <x:v>-0.0318159697477709</x:v>
      </x:c>
    </x:row>
    <x:row r="125">
      <x:c r="A125" s="6" t="n">
        <x:v>38230</x:v>
      </x:c>
      <x:c r="B125" t="str">
        <x:f>IF(A125&lt;=DATE(2006,5,31),"MSCI ACWI GBP Net Return",IF(A125&lt;=DATE(2024,2,29),"Solactive GBS Global Markets L&amp;M GBP NTR","PACW actual grossed up by OCF"))</x:f>
        <x:v>MSCI ACWI GBP Net Return</x:v>
      </x:c>
      <x:c r="C125" s="8" t="n">
        <x:f>MSCI_ACWI!B125</x:f>
        <x:v>35497.13498926444</x:v>
      </x:c>
      <x:c r="D125" s="10" t="n">
        <x:f>MSCI_ACWI!C125</x:f>
        <x:v>0.02006538526468593</x:v>
      </x:c>
      <x:c r="E125" s="12" t="n">
        <x:f>Sources!I125</x:f>
        <x:v>76.6</x:v>
      </x:c>
      <x:c r="F125" s="10" t="n">
        <x:f>E125/E124-1</x:f>
        <x:v>0.002617801047120283</x:v>
      </x:c>
      <x:c r="G125" s="10" t="n">
        <x:f>(1+D125)/(1+F125)-1</x:f>
        <x:v>0.01740202916738931</x:v>
      </x:c>
    </x:row>
    <x:row r="126">
      <x:c r="A126" s="6" t="n">
        <x:v>38260</x:v>
      </x:c>
      <x:c r="B126" t="str">
        <x:f>IF(A126&lt;=DATE(2006,5,31),"MSCI ACWI GBP Net Return",IF(A126&lt;=DATE(2024,2,29),"Solactive GBS Global Markets L&amp;M GBP NTR","PACW actual grossed up by OCF"))</x:f>
        <x:v>MSCI ACWI GBP Net Return</x:v>
      </x:c>
      <x:c r="C126" s="8" t="n">
        <x:f>MSCI_ACWI!B126</x:f>
        <x:v>35966.35971234459</x:v>
      </x:c>
      <x:c r="D126" s="10" t="n">
        <x:f>MSCI_ACWI!C126</x:f>
        <x:v>0.013218664639330857</x:v>
      </x:c>
      <x:c r="E126" s="12" t="n">
        <x:f>Sources!I126</x:f>
        <x:v>76.7</x:v>
      </x:c>
      <x:c r="F126" s="10" t="n">
        <x:f>E126/E125-1</x:f>
        <x:v>0.0013054830287206887</x:v>
      </x:c>
      <x:c r="G126" s="10" t="n">
        <x:f>(1+D126)/(1+F126)-1</x:f>
        <x:v>0.011897649431195978</x:v>
      </x:c>
    </x:row>
    <x:row r="127">
      <x:c r="A127" s="6" t="n">
        <x:v>38291</x:v>
      </x:c>
      <x:c r="B127" t="str">
        <x:f>IF(A127&lt;=DATE(2006,5,31),"MSCI ACWI GBP Net Return",IF(A127&lt;=DATE(2024,2,29),"Solactive GBS Global Markets L&amp;M GBP NTR","PACW actual grossed up by OCF"))</x:f>
        <x:v>MSCI ACWI GBP Net Return</x:v>
      </x:c>
      <x:c r="C127" s="8" t="n">
        <x:f>MSCI_ACWI!B127</x:f>
        <x:v>36367.52784865444</x:v>
      </x:c>
      <x:c r="D127" s="10" t="n">
        <x:f>MSCI_ACWI!C127</x:f>
        <x:v>0.011153982207773083</x:v>
      </x:c>
      <x:c r="E127" s="12" t="n">
        <x:f>Sources!I127</x:f>
        <x:v>76.9</x:v>
      </x:c>
      <x:c r="F127" s="10" t="n">
        <x:f>E127/E126-1</x:f>
        <x:v>0.0026075619295957697</x:v>
      </x:c>
      <x:c r="G127" s="10" t="n">
        <x:f>(1+D127)/(1+F127)-1</x:f>
        <x:v>0.00852419291724571</x:v>
      </x:c>
    </x:row>
    <x:row r="128">
      <x:c r="A128" s="6" t="n">
        <x:v>38321</x:v>
      </x:c>
      <x:c r="B128" t="str">
        <x:f>IF(A128&lt;=DATE(2006,5,31),"MSCI ACWI GBP Net Return",IF(A128&lt;=DATE(2024,2,29),"Solactive GBS Global Markets L&amp;M GBP NTR","PACW actual grossed up by OCF"))</x:f>
        <x:v>MSCI ACWI GBP Net Return</x:v>
      </x:c>
      <x:c r="C128" s="8" t="n">
        <x:f>MSCI_ACWI!B128</x:f>
        <x:v>36805.18443918872</x:v>
      </x:c>
      <x:c r="D128" s="10" t="n">
        <x:f>MSCI_ACWI!C128</x:f>
        <x:v>0.012034268382377089</x:v>
      </x:c>
      <x:c r="E128" s="12" t="n">
        <x:f>Sources!I128</x:f>
        <x:v>77</x:v>
      </x:c>
      <x:c r="F128" s="10" t="n">
        <x:f>E128/E127-1</x:f>
        <x:v>0.0013003901170349774</x:v>
      </x:c>
      <x:c r="G128" s="10" t="n">
        <x:f>(1+D128)/(1+F128)-1</x:f>
        <x:v>0.010719938163698872</x:v>
      </x:c>
    </x:row>
    <x:row r="129">
      <x:c r="A129" s="6" t="n">
        <x:v>38352</x:v>
      </x:c>
      <x:c r="B129" t="str">
        <x:f>IF(A129&lt;=DATE(2006,5,31),"MSCI ACWI GBP Net Return",IF(A129&lt;=DATE(2024,2,29),"Solactive GBS Global Markets L&amp;M GBP NTR","PACW actual grossed up by OCF"))</x:f>
        <x:v>MSCI ACWI GBP Net Return</x:v>
      </x:c>
      <x:c r="C129" s="8" t="n">
        <x:f>MSCI_ACWI!B129</x:f>
        <x:v>37777.33589973004</x:v>
      </x:c>
      <x:c r="D129" s="10" t="n">
        <x:f>MSCI_ACWI!C129</x:f>
        <x:v>0.02641343808907015</x:v>
      </x:c>
      <x:c r="E129" s="12" t="n">
        <x:f>Sources!I129</x:f>
        <x:v>77.4</x:v>
      </x:c>
      <x:c r="F129" s="10" t="n">
        <x:f>E129/E128-1</x:f>
        <x:v>0.0051948051948051965</x:v>
      </x:c>
      <x:c r="G129" s="10" t="n">
        <x:f>(1+D129)/(1+F129)-1</x:f>
        <x:v>0.021108975876723557</x:v>
      </x:c>
    </x:row>
    <x:row r="130">
      <x:c r="A130" s="6" t="n">
        <x:v>38383</x:v>
      </x:c>
      <x:c r="B130" t="str">
        <x:f>IF(A130&lt;=DATE(2006,5,31),"MSCI ACWI GBP Net Return",IF(A130&lt;=DATE(2024,2,29),"Solactive GBS Global Markets L&amp;M GBP NTR","PACW actual grossed up by OCF"))</x:f>
        <x:v>MSCI ACWI GBP Net Return</x:v>
      </x:c>
      <x:c r="C130" s="8" t="n">
        <x:f>MSCI_ACWI!B130</x:f>
        <x:v>37887.555139948185</x:v>
      </x:c>
      <x:c r="D130" s="10" t="n">
        <x:f>MSCI_ACWI!C130</x:f>
        <x:v>0.0029176022499493026</x:v>
      </x:c>
      <x:c r="E130" s="12" t="n">
        <x:f>Sources!I130</x:f>
        <x:v>77</x:v>
      </x:c>
      <x:c r="F130" s="10" t="n">
        <x:f>E130/E129-1</x:f>
        <x:v>-0.0051679586563307955</x:v>
      </x:c>
      <x:c r="G130" s="10" t="n">
        <x:f>(1+D130)/(1+F130)-1</x:f>
        <x:v>0.008127563820079065</x:v>
      </x:c>
    </x:row>
    <x:row r="131">
      <x:c r="A131" s="6" t="n">
        <x:v>38411</x:v>
      </x:c>
      <x:c r="B131" t="str">
        <x:f>IF(A131&lt;=DATE(2006,5,31),"MSCI ACWI GBP Net Return",IF(A131&lt;=DATE(2024,2,29),"Solactive GBS Global Markets L&amp;M GBP NTR","PACW actual grossed up by OCF"))</x:f>
        <x:v>MSCI ACWI GBP Net Return</x:v>
      </x:c>
      <x:c r="C131" s="8" t="n">
        <x:f>MSCI_ACWI!B131</x:f>
        <x:v>38480.13723963167</x:v>
      </x:c>
      <x:c r="D131" s="10" t="n">
        <x:f>MSCI_ACWI!C131</x:f>
        <x:v>0.01564054733789555</x:v>
      </x:c>
      <x:c r="E131" s="12" t="n">
        <x:f>Sources!I131</x:f>
        <x:v>77.2</x:v>
      </x:c>
      <x:c r="F131" s="10" t="n">
        <x:f>E131/E130-1</x:f>
        <x:v>0.0025974025974027093</x:v>
      </x:c>
      <x:c r="G131" s="10" t="n">
        <x:f>(1+D131)/(1+F131)-1</x:f>
        <x:v>0.013009354210077095</x:v>
      </x:c>
    </x:row>
    <x:row r="132">
      <x:c r="A132" s="6" t="n">
        <x:v>38442</x:v>
      </x:c>
      <x:c r="B132" t="str">
        <x:f>IF(A132&lt;=DATE(2006,5,31),"MSCI ACWI GBP Net Return",IF(A132&lt;=DATE(2024,2,29),"Solactive GBS Global Markets L&amp;M GBP NTR","PACW actual grossed up by OCF"))</x:f>
        <x:v>MSCI ACWI GBP Net Return</x:v>
      </x:c>
      <x:c r="C132" s="8" t="n">
        <x:f>MSCI_ACWI!B132</x:f>
        <x:v>38428.77691939747</x:v>
      </x:c>
      <x:c r="D132" s="10" t="n">
        <x:f>MSCI_ACWI!C132</x:f>
        <x:v>-0.0013347228965001623</x:v>
      </x:c>
      <x:c r="E132" s="12" t="n">
        <x:f>Sources!I132</x:f>
        <x:v>77.5</x:v>
      </x:c>
      <x:c r="F132" s="10" t="n">
        <x:f>E132/E131-1</x:f>
        <x:v>0.0038860103626943143</x:v>
      </x:c>
      <x:c r="G132" s="10" t="n">
        <x:f>(1+D132)/(1+F132)-1</x:f>
        <x:v>-0.005200523969158932</x:v>
      </x:c>
    </x:row>
    <x:row r="133">
      <x:c r="A133" s="6" t="n">
        <x:v>38472</x:v>
      </x:c>
      <x:c r="B133" t="str">
        <x:f>IF(A133&lt;=DATE(2006,5,31),"MSCI ACWI GBP Net Return",IF(A133&lt;=DATE(2024,2,29),"Solactive GBS Global Markets L&amp;M GBP NTR","PACW actual grossed up by OCF"))</x:f>
        <x:v>MSCI ACWI GBP Net Return</x:v>
      </x:c>
      <x:c r="C133" s="8" t="n">
        <x:f>MSCI_ACWI!B133</x:f>
        <x:v>37025.96796376728</x:v>
      </x:c>
      <x:c r="D133" s="10" t="n">
        <x:f>MSCI_ACWI!C133</x:f>
        <x:v>-0.036504127065311254</x:v>
      </x:c>
      <x:c r="E133" s="12" t="n">
        <x:f>Sources!I133</x:f>
        <x:v>77.8</x:v>
      </x:c>
      <x:c r="F133" s="10" t="n">
        <x:f>E133/E132-1</x:f>
        <x:v>0.003870967741935516</x:v>
      </x:c>
      <x:c r="G133" s="10" t="n">
        <x:f>(1+D133)/(1+F133)-1</x:f>
        <x:v>-0.04021940678099778</x:v>
      </x:c>
    </x:row>
    <x:row r="134">
      <x:c r="A134" s="6" t="n">
        <x:v>38503</x:v>
      </x:c>
      <x:c r="B134" t="str">
        <x:f>IF(A134&lt;=DATE(2006,5,31),"MSCI ACWI GBP Net Return",IF(A134&lt;=DATE(2024,2,29),"Solactive GBS Global Markets L&amp;M GBP NTR","PACW actual grossed up by OCF"))</x:f>
        <x:v>MSCI ACWI GBP Net Return</x:v>
      </x:c>
      <x:c r="C134" s="8" t="n">
        <x:f>MSCI_ACWI!B134</x:f>
        <x:v>39637.83111687285</x:v>
      </x:c>
      <x:c r="D134" s="10" t="n">
        <x:f>MSCI_ACWI!C134</x:f>
        <x:v>0.07054138748408878</x:v>
      </x:c>
      <x:c r="E134" s="12" t="n">
        <x:f>Sources!I134</x:f>
        <x:v>78.1</x:v>
      </x:c>
      <x:c r="F134" s="10" t="n">
        <x:f>E134/E133-1</x:f>
        <x:v>0.00385604113110527</x:v>
      </x:c>
      <x:c r="G134" s="10" t="n">
        <x:f>(1+D134)/(1+F134)-1</x:f>
        <x:v>0.06642919265380431</x:v>
      </x:c>
    </x:row>
    <x:row r="135">
      <x:c r="A135" s="6" t="n">
        <x:v>38533</x:v>
      </x:c>
      <x:c r="B135" t="str">
        <x:f>IF(A135&lt;=DATE(2006,5,31),"MSCI ACWI GBP Net Return",IF(A135&lt;=DATE(2024,2,29),"Solactive GBS Global Markets L&amp;M GBP NTR","PACW actual grossed up by OCF"))</x:f>
        <x:v>MSCI ACWI GBP Net Return</x:v>
      </x:c>
      <x:c r="C135" s="8" t="n">
        <x:f>MSCI_ACWI!B135</x:f>
        <x:v>40672.813828392544</x:v>
      </x:c>
      <x:c r="D135" s="10" t="n">
        <x:f>MSCI_ACWI!C135</x:f>
        <x:v>0.026110982421516216</x:v>
      </x:c>
      <x:c r="E135" s="12" t="n">
        <x:f>Sources!I135</x:f>
        <x:v>78.1</x:v>
      </x:c>
      <x:c r="F135" s="10" t="n">
        <x:f>E135/E134-1</x:f>
        <x:v>0</x:v>
      </x:c>
      <x:c r="G135" s="10" t="n">
        <x:f>(1+D135)/(1+F135)-1</x:f>
        <x:v>0.026110982421516216</x:v>
      </x:c>
    </x:row>
    <x:row r="136">
      <x:c r="A136" s="6" t="n">
        <x:v>38564</x:v>
      </x:c>
      <x:c r="B136" t="str">
        <x:f>IF(A136&lt;=DATE(2006,5,31),"MSCI ACWI GBP Net Return",IF(A136&lt;=DATE(2024,2,29),"Solactive GBS Global Markets L&amp;M GBP NTR","PACW actual grossed up by OCF"))</x:f>
        <x:v>MSCI ACWI GBP Net Return</x:v>
      </x:c>
      <x:c r="C136" s="8" t="n">
        <x:f>MSCI_ACWI!B136</x:f>
        <x:v>43128.92794270757</x:v>
      </x:c>
      <x:c r="D136" s="10" t="n">
        <x:f>MSCI_ACWI!C136</x:f>
        <x:v>0.06038712061274887</x:v>
      </x:c>
      <x:c r="E136" s="12" t="n">
        <x:f>Sources!I136</x:f>
        <x:v>78.2</x:v>
      </x:c>
      <x:c r="F136" s="10" t="n">
        <x:f>E136/E135-1</x:f>
        <x:v>0.001280409731114096</x:v>
      </x:c>
      <x:c r="G136" s="10" t="n">
        <x:f>(1+D136)/(1+F136)-1</x:f>
        <x:v>0.05903112685237444</x:v>
      </x:c>
    </x:row>
    <x:row r="137">
      <x:c r="A137" s="6" t="n">
        <x:v>38595</x:v>
      </x:c>
      <x:c r="B137" t="str">
        <x:f>IF(A137&lt;=DATE(2006,5,31),"MSCI ACWI GBP Net Return",IF(A137&lt;=DATE(2024,2,29),"Solactive GBS Global Markets L&amp;M GBP NTR","PACW actual grossed up by OCF"))</x:f>
        <x:v>MSCI ACWI GBP Net Return</x:v>
      </x:c>
      <x:c r="C137" s="8" t="n">
        <x:f>MSCI_ACWI!B137</x:f>
        <x:v>42702.08414120595</x:v>
      </x:c>
      <x:c r="D137" s="10" t="n">
        <x:f>MSCI_ACWI!C137</x:f>
        <x:v>-0.00989692584217794</x:v>
      </x:c>
      <x:c r="E137" s="12" t="n">
        <x:f>Sources!I137</x:f>
        <x:v>78.4</x:v>
      </x:c>
      <x:c r="F137" s="10" t="n">
        <x:f>E137/E136-1</x:f>
        <x:v>0.002557544757033181</x:v>
      </x:c>
      <x:c r="G137" s="10" t="n">
        <x:f>(1+D137)/(1+F137)-1</x:f>
        <x:v>-0.012422698990539716</x:v>
      </x:c>
    </x:row>
    <x:row r="138">
      <x:c r="A138" s="6" t="n">
        <x:v>38625</x:v>
      </x:c>
      <x:c r="B138" t="str">
        <x:f>IF(A138&lt;=DATE(2006,5,31),"MSCI ACWI GBP Net Return",IF(A138&lt;=DATE(2024,2,29),"Solactive GBS Global Markets L&amp;M GBP NTR","PACW actual grossed up by OCF"))</x:f>
        <x:v>MSCI ACWI GBP Net Return</x:v>
      </x:c>
      <x:c r="C138" s="8" t="n">
        <x:f>MSCI_ACWI!B138</x:f>
        <x:v>44506.80154721451</x:v>
      </x:c>
      <x:c r="D138" s="10" t="n">
        <x:f>MSCI_ACWI!C138</x:f>
        <x:v>0.042262981826385326</x:v>
      </x:c>
      <x:c r="E138" s="12" t="n">
        <x:f>Sources!I138</x:f>
        <x:v>78.6</x:v>
      </x:c>
      <x:c r="F138" s="10" t="n">
        <x:f>E138/E137-1</x:f>
        <x:v>0.0025510204081631294</x:v>
      </x:c>
      <x:c r="G138" s="10" t="n">
        <x:f>(1+D138)/(1+F138)-1</x:f>
        <x:v>0.0396109131703386</x:v>
      </x:c>
    </x:row>
    <x:row r="139">
      <x:c r="A139" s="6" t="n">
        <x:v>38656</x:v>
      </x:c>
      <x:c r="B139" t="str">
        <x:f>IF(A139&lt;=DATE(2006,5,31),"MSCI ACWI GBP Net Return",IF(A139&lt;=DATE(2024,2,29),"Solactive GBS Global Markets L&amp;M GBP NTR","PACW actual grossed up by OCF"))</x:f>
        <x:v>MSCI ACWI GBP Net Return</x:v>
      </x:c>
      <x:c r="C139" s="8" t="n">
        <x:f>MSCI_ACWI!B139</x:f>
        <x:v>43047.605088755845</x:v>
      </x:c>
      <x:c r="D139" s="10" t="n">
        <x:f>MSCI_ACWI!C139</x:f>
        <x:v>-0.03278592052746576</x:v>
      </x:c>
      <x:c r="E139" s="12" t="n">
        <x:f>Sources!I139</x:f>
        <x:v>78.7</x:v>
      </x:c>
      <x:c r="F139" s="10" t="n">
        <x:f>E139/E138-1</x:f>
        <x:v>0.0012722646310434627</x:v>
      </x:c>
      <x:c r="G139" s="10" t="n">
        <x:f>(1+D139)/(1+F139)-1</x:f>
        <x:v>-0.034014909192615295</x:v>
      </x:c>
    </x:row>
    <x:row r="140">
      <x:c r="A140" s="6" t="n">
        <x:v>38686</x:v>
      </x:c>
      <x:c r="B140" t="str">
        <x:f>IF(A140&lt;=DATE(2006,5,31),"MSCI ACWI GBP Net Return",IF(A140&lt;=DATE(2024,2,29),"Solactive GBS Global Markets L&amp;M GBP NTR","PACW actual grossed up by OCF"))</x:f>
        <x:v>MSCI ACWI GBP Net Return</x:v>
      </x:c>
      <x:c r="C140" s="8" t="n">
        <x:f>MSCI_ACWI!B140</x:f>
        <x:v>45971.25922465037</x:v>
      </x:c>
      <x:c r="D140" s="10" t="n">
        <x:f>MSCI_ACWI!C140</x:f>
        <x:v>0.06791676633035726</x:v>
      </x:c>
      <x:c r="E140" s="12" t="n">
        <x:f>Sources!I140</x:f>
        <x:v>78.7</x:v>
      </x:c>
      <x:c r="F140" s="10" t="n">
        <x:f>E140/E139-1</x:f>
        <x:v>0</x:v>
      </x:c>
      <x:c r="G140" s="10" t="n">
        <x:f>(1+D140)/(1+F140)-1</x:f>
        <x:v>0.06791676633035726</x:v>
      </x:c>
    </x:row>
    <x:row r="141">
      <x:c r="A141" s="6" t="n">
        <x:v>38717</x:v>
      </x:c>
      <x:c r="B141" t="str">
        <x:f>IF(A141&lt;=DATE(2006,5,31),"MSCI ACWI GBP Net Return",IF(A141&lt;=DATE(2024,2,29),"Solactive GBS Global Markets L&amp;M GBP NTR","PACW actual grossed up by OCF"))</x:f>
        <x:v>MSCI ACWI GBP Net Return</x:v>
      </x:c>
      <x:c r="C141" s="8" t="n">
        <x:f>MSCI_ACWI!B141</x:f>
        <x:v>47218.45911528448</x:v>
      </x:c>
      <x:c r="D141" s="10" t="n">
        <x:f>MSCI_ACWI!C141</x:f>
        <x:v>0.027129991905145534</x:v>
      </x:c>
      <x:c r="E141" s="12" t="n">
        <x:f>Sources!I141</x:f>
        <x:v>78.9</x:v>
      </x:c>
      <x:c r="F141" s="10" t="n">
        <x:f>E141/E140-1</x:f>
        <x:v>0.0025412960609911828</x:v>
      </x:c>
      <x:c r="G141" s="10" t="n">
        <x:f>(1+D141)/(1+F141)-1</x:f>
        <x:v>0.02452636708409317</x:v>
      </x:c>
    </x:row>
    <x:row r="142">
      <x:c r="A142" s="6" t="n">
        <x:v>38748</x:v>
      </x:c>
      <x:c r="B142" t="str">
        <x:f>IF(A142&lt;=DATE(2006,5,31),"MSCI ACWI GBP Net Return",IF(A142&lt;=DATE(2024,2,29),"Solactive GBS Global Markets L&amp;M GBP NTR","PACW actual grossed up by OCF"))</x:f>
        <x:v>MSCI ACWI GBP Net Return</x:v>
      </x:c>
      <x:c r="C142" s="8" t="n">
        <x:f>MSCI_ACWI!B142</x:f>
        <x:v>48170.3165604546</x:v>
      </x:c>
      <x:c r="D142" s="10" t="n">
        <x:f>MSCI_ACWI!C142</x:f>
        <x:v>0.020158587616045498</x:v>
      </x:c>
      <x:c r="E142" s="12" t="n">
        <x:f>Sources!I142</x:f>
        <x:v>78.5</x:v>
      </x:c>
      <x:c r="F142" s="10" t="n">
        <x:f>E142/E141-1</x:f>
        <x:v>-0.005069708491761804</x:v>
      </x:c>
      <x:c r="G142" s="10" t="n">
        <x:f>(1+D142)/(1+F142)-1</x:f>
        <x:v>0.025356847935108284</x:v>
      </x:c>
    </x:row>
    <x:row r="143">
      <x:c r="A143" s="6" t="n">
        <x:v>38776</x:v>
      </x:c>
      <x:c r="B143" t="str">
        <x:f>IF(A143&lt;=DATE(2006,5,31),"MSCI ACWI GBP Net Return",IF(A143&lt;=DATE(2024,2,29),"Solactive GBS Global Markets L&amp;M GBP NTR","PACW actual grossed up by OCF"))</x:f>
        <x:v>MSCI ACWI GBP Net Return</x:v>
      </x:c>
      <x:c r="C143" s="8" t="n">
        <x:f>MSCI_ACWI!B143</x:f>
        <x:v>48766.53000404668</x:v>
      </x:c>
      <x:c r="D143" s="10" t="n">
        <x:f>MSCI_ACWI!C143</x:f>
        <x:v>0.012377195878375158</x:v>
      </x:c>
      <x:c r="E143" s="12" t="n">
        <x:f>Sources!I143</x:f>
        <x:v>78.8</x:v>
      </x:c>
      <x:c r="F143" s="10" t="n">
        <x:f>E143/E142-1</x:f>
        <x:v>0.003821656050955413</x:v>
      </x:c>
      <x:c r="G143" s="10" t="n">
        <x:f>(1+D143)/(1+F143)-1</x:f>
        <x:v>0.008522967975284956</x:v>
      </x:c>
    </x:row>
    <x:row r="144">
      <x:c r="A144" s="6" t="n">
        <x:v>38807</x:v>
      </x:c>
      <x:c r="B144" t="str">
        <x:f>IF(A144&lt;=DATE(2006,5,31),"MSCI ACWI GBP Net Return",IF(A144&lt;=DATE(2024,2,29),"Solactive GBS Global Markets L&amp;M GBP NTR","PACW actual grossed up by OCF"))</x:f>
        <x:v>MSCI ACWI GBP Net Return</x:v>
      </x:c>
      <x:c r="C144" s="8" t="n">
        <x:f>MSCI_ACWI!B144</x:f>
        <x:v>50078.9830144298</x:v>
      </x:c>
      <x:c r="D144" s="10" t="n">
        <x:f>MSCI_ACWI!C144</x:f>
        <x:v>0.02691298745828763</x:v>
      </x:c>
      <x:c r="E144" s="12" t="n">
        <x:f>Sources!I144</x:f>
        <x:v>78.9</x:v>
      </x:c>
      <x:c r="F144" s="10" t="n">
        <x:f>E144/E143-1</x:f>
        <x:v>0.0012690355329949554</x:v>
      </x:c>
      <x:c r="G144" s="10" t="n">
        <x:f>(1+D144)/(1+F144)-1</x:f>
        <x:v>0.025611450085083254</x:v>
      </x:c>
    </x:row>
    <x:row r="145">
      <x:c r="A145" s="6" t="n">
        <x:v>38837</x:v>
      </x:c>
      <x:c r="B145" t="str">
        <x:f>IF(A145&lt;=DATE(2006,5,31),"MSCI ACWI GBP Net Return",IF(A145&lt;=DATE(2024,2,29),"Solactive GBS Global Markets L&amp;M GBP NTR","PACW actual grossed up by OCF"))</x:f>
        <x:v>MSCI ACWI GBP Net Return</x:v>
      </x:c>
      <x:c r="C145" s="8" t="n">
        <x:f>MSCI_ACWI!B145</x:f>
        <x:v>49825.25398245066</x:v>
      </x:c>
      <x:c r="D145" s="10" t="n">
        <x:f>MSCI_ACWI!C145</x:f>
        <x:v>-0.005066577168830189</x:v>
      </x:c>
      <x:c r="E145" s="12" t="n">
        <x:f>Sources!I145</x:f>
        <x:v>79.4</x:v>
      </x:c>
      <x:c r="F145" s="10" t="n">
        <x:f>E145/E144-1</x:f>
        <x:v>0.006337135614702172</x:v>
      </x:c>
      <x:c r="G145" s="10" t="n">
        <x:f>(1+D145)/(1+F145)-1</x:f>
        <x:v>-0.011331900990185217</x:v>
      </x:c>
    </x:row>
    <x:row r="146">
      <x:c r="A146" s="6" t="n">
        <x:v>38868</x:v>
      </x:c>
      <x:c r="B146" t="str">
        <x:f>IF(A146&lt;=DATE(2006,5,31),"MSCI ACWI GBP Net Return",IF(A146&lt;=DATE(2024,2,29),"Solactive GBS Global Markets L&amp;M GBP NTR","PACW actual grossed up by OCF"))</x:f>
        <x:v>MSCI ACWI GBP Net Return</x:v>
      </x:c>
      <x:c r="C146" s="8" t="n">
        <x:f>MSCI_ACWI!B146</x:f>
        <x:v>46112.84102619598</x:v>
      </x:c>
      <x:c r="D146" s="10" t="n">
        <x:f>MSCI_ACWI!C146</x:f>
        <x:v>-0.0745086609606096</x:v>
      </x:c>
      <x:c r="E146" s="12" t="n">
        <x:f>Sources!I146</x:f>
        <x:v>79.9</x:v>
      </x:c>
      <x:c r="F146" s="10" t="n">
        <x:f>E146/E145-1</x:f>
        <x:v>0.006297229219143663</x:v>
      </x:c>
      <x:c r="G146" s="10" t="n">
        <x:f>(1+D146)/(1+F146)-1</x:f>
        <x:v>-0.08030022128000514</x:v>
      </x:c>
    </x:row>
    <x:row r="147">
      <x:c r="A147" s="6" t="n">
        <x:v>38898</x:v>
      </x:c>
      <x:c r="B147" t="str">
        <x:f>IF(A147&lt;=DATE(2006,5,31),"MSCI ACWI GBP Net Return",IF(A147&lt;=DATE(2024,2,29),"Solactive GBS Global Markets L&amp;M GBP NTR","PACW actual grossed up by OCF"))</x:f>
        <x:v>Solactive GBS Global Markets L&amp;M GBP NTR</x:v>
      </x:c>
      <x:c r="C147" s="8" t="n">
        <x:f>Solactive_GBS!B3</x:f>
        <x:v>390.32331155000884</x:v>
      </x:c>
      <x:c r="D147" s="10" t="n">
        <x:f>Solactive_GBS!C3</x:f>
        <x:v>0.009662028007001444</x:v>
      </x:c>
      <x:c r="E147" s="12" t="n">
        <x:f>Sources!I147</x:f>
        <x:v>80.1</x:v>
      </x:c>
      <x:c r="F147" s="10" t="n">
        <x:f>E147/E146-1</x:f>
        <x:v>0.0025031289111387967</x:v>
      </x:c>
      <x:c r="G147" s="10" t="n">
        <x:f>(1+D147)/(1+F147)-1</x:f>
        <x:v>0.007141024191753109</x:v>
      </x:c>
    </x:row>
    <x:row r="148">
      <x:c r="A148" s="6" t="n">
        <x:v>38929</x:v>
      </x:c>
      <x:c r="B148" t="str">
        <x:f>IF(A148&lt;=DATE(2006,5,31),"MSCI ACWI GBP Net Return",IF(A148&lt;=DATE(2024,2,29),"Solactive GBS Global Markets L&amp;M GBP NTR","PACW actual grossed up by OCF"))</x:f>
        <x:v>Solactive GBS Global Markets L&amp;M GBP NTR</x:v>
      </x:c>
      <x:c r="C148" s="8" t="n">
        <x:f>Solactive_GBS!B4</x:f>
        <x:v>389.6161545513887</x:v>
      </x:c>
      <x:c r="D148" s="10" t="n">
        <x:f>Solactive_GBS!C4</x:f>
        <x:v>-0.001811721149351686</x:v>
      </x:c>
      <x:c r="E148" s="12" t="n">
        <x:f>Sources!I148</x:f>
        <x:v>80</x:v>
      </x:c>
      <x:c r="F148" s="10" t="n">
        <x:f>E148/E147-1</x:f>
        <x:v>-0.0012484394506865337</x:v>
      </x:c>
      <x:c r="G148" s="10" t="n">
        <x:f>(1+D148)/(1+F148)-1</x:f>
        <x:v>-0.0005639858007885357</x:v>
      </x:c>
    </x:row>
    <x:row r="149">
      <x:c r="A149" s="6" t="n">
        <x:v>38960</x:v>
      </x:c>
      <x:c r="B149" t="str">
        <x:f>IF(A149&lt;=DATE(2006,5,31),"MSCI ACWI GBP Net Return",IF(A149&lt;=DATE(2024,2,29),"Solactive GBS Global Markets L&amp;M GBP NTR","PACW actual grossed up by OCF"))</x:f>
        <x:v>Solactive GBS Global Markets L&amp;M GBP NTR</x:v>
      </x:c>
      <x:c r="C149" s="8" t="n">
        <x:f>Solactive_GBS!B5</x:f>
        <x:v>392.34107378378394</x:v>
      </x:c>
      <x:c r="D149" s="10" t="n">
        <x:f>Solactive_GBS!C5</x:f>
        <x:v>0.00699385587728707</x:v>
      </x:c>
      <x:c r="E149" s="12" t="n">
        <x:f>Sources!I149</x:f>
        <x:v>80.4</x:v>
      </x:c>
      <x:c r="F149" s="10" t="n">
        <x:f>E149/E148-1</x:f>
        <x:v>0.0050000000000001155</x:v>
      </x:c>
      <x:c r="G149" s="10" t="n">
        <x:f>(1+D149)/(1+F149)-1</x:f>
        <x:v>0.001983936196305436</x:v>
      </x:c>
    </x:row>
    <x:row r="150">
      <x:c r="A150" s="6" t="n">
        <x:v>38990</x:v>
      </x:c>
      <x:c r="B150" t="str">
        <x:f>IF(A150&lt;=DATE(2006,5,31),"MSCI ACWI GBP Net Return",IF(A150&lt;=DATE(2024,2,29),"Solactive GBS Global Markets L&amp;M GBP NTR","PACW actual grossed up by OCF"))</x:f>
        <x:v>Solactive GBS Global Markets L&amp;M GBP NTR</x:v>
      </x:c>
      <x:c r="C150" s="8" t="n">
        <x:f>Solactive_GBS!B6</x:f>
        <x:v>404.0060302050224</x:v>
      </x:c>
      <x:c r="D150" s="10" t="n">
        <x:f>Solactive_GBS!C6</x:f>
        <x:v>0.029731672773233297</x:v>
      </x:c>
      <x:c r="E150" s="12" t="n">
        <x:f>Sources!I150</x:f>
        <x:v>80.5</x:v>
      </x:c>
      <x:c r="F150" s="10" t="n">
        <x:f>E150/E149-1</x:f>
        <x:v>0.0012437810945273853</x:v>
      </x:c>
      <x:c r="G150" s="10" t="n">
        <x:f>(1+D150)/(1+F150)-1</x:f>
        <x:v>0.028452502993390638</x:v>
      </x:c>
    </x:row>
    <x:row r="151">
      <x:c r="A151" s="6" t="n">
        <x:v>39021</x:v>
      </x:c>
      <x:c r="B151" t="str">
        <x:f>IF(A151&lt;=DATE(2006,5,31),"MSCI ACWI GBP Net Return",IF(A151&lt;=DATE(2024,2,29),"Solactive GBS Global Markets L&amp;M GBP NTR","PACW actual grossed up by OCF"))</x:f>
        <x:v>Solactive GBS Global Markets L&amp;M GBP NTR</x:v>
      </x:c>
      <x:c r="C151" s="8" t="n">
        <x:f>Solactive_GBS!B7</x:f>
        <x:v>410.1402325339086</x:v>
      </x:c>
      <x:c r="D151" s="10" t="n">
        <x:f>Solactive_GBS!C7</x:f>
        <x:v>0.015183442499046906</x:v>
      </x:c>
      <x:c r="E151" s="12" t="n">
        <x:f>Sources!I151</x:f>
        <x:v>80.6</x:v>
      </x:c>
      <x:c r="F151" s="10" t="n">
        <x:f>E151/E150-1</x:f>
        <x:v>0.001242236024844745</x:v>
      </x:c>
      <x:c r="G151" s="10" t="n">
        <x:f>(1+D151)/(1+F151)-1</x:f>
        <x:v>0.0139239096919761</x:v>
      </x:c>
    </x:row>
    <x:row r="152">
      <x:c r="A152" s="6" t="n">
        <x:v>39051</x:v>
      </x:c>
      <x:c r="B152" t="str">
        <x:f>IF(A152&lt;=DATE(2006,5,31),"MSCI ACWI GBP Net Return",IF(A152&lt;=DATE(2024,2,29),"Solactive GBS Global Markets L&amp;M GBP NTR","PACW actual grossed up by OCF"))</x:f>
        <x:v>Solactive GBS Global Markets L&amp;M GBP NTR</x:v>
      </x:c>
      <x:c r="C152" s="8" t="n">
        <x:f>Solactive_GBS!B8</x:f>
        <x:v>408.5241992961264</x:v>
      </x:c>
      <x:c r="D152" s="10" t="n">
        <x:f>Solactive_GBS!C8</x:f>
        <x:v>-0.003940196814631092</x:v>
      </x:c>
      <x:c r="E152" s="12" t="n">
        <x:f>Sources!I152</x:f>
        <x:v>80.8</x:v>
      </x:c>
      <x:c r="F152" s="10" t="n">
        <x:f>E152/E151-1</x:f>
        <x:v>0.002481389578163906</x:v>
      </x:c>
      <x:c r="G152" s="10" t="n">
        <x:f>(1+D152)/(1+F152)-1</x:f>
        <x:v>-0.006405691376971223</x:v>
      </x:c>
    </x:row>
    <x:row r="153">
      <x:c r="A153" s="6" t="n">
        <x:v>39082</x:v>
      </x:c>
      <x:c r="B153" t="str">
        <x:f>IF(A153&lt;=DATE(2006,5,31),"MSCI ACWI GBP Net Return",IF(A153&lt;=DATE(2024,2,29),"Solactive GBS Global Markets L&amp;M GBP NTR","PACW actual grossed up by OCF"))</x:f>
        <x:v>Solactive GBS Global Markets L&amp;M GBP NTR</x:v>
      </x:c>
      <x:c r="C153" s="8" t="n">
        <x:f>Solactive_GBS!B9</x:f>
        <x:v>419.653517056041</x:v>
      </x:c>
      <x:c r="D153" s="10" t="n">
        <x:f>Solactive_GBS!C9</x:f>
        <x:v>0.027242738077915662</x:v>
      </x:c>
      <x:c r="E153" s="12" t="n">
        <x:f>Sources!I153</x:f>
        <x:v>81.3</x:v>
      </x:c>
      <x:c r="F153" s="10" t="n">
        <x:f>E153/E152-1</x:f>
        <x:v>0.006188118811881083</x:v>
      </x:c>
      <x:c r="G153" s="10" t="n">
        <x:f>(1+D153)/(1+F153)-1</x:f>
        <x:v>0.020925132062676433</x:v>
      </x:c>
    </x:row>
    <x:row r="154">
      <x:c r="A154" s="6" t="n">
        <x:v>39113</x:v>
      </x:c>
      <x:c r="B154" t="str">
        <x:f>IF(A154&lt;=DATE(2006,5,31),"MSCI ACWI GBP Net Return",IF(A154&lt;=DATE(2024,2,29),"Solactive GBS Global Markets L&amp;M GBP NTR","PACW actual grossed up by OCF"))</x:f>
        <x:v>Solactive GBS Global Markets L&amp;M GBP NTR</x:v>
      </x:c>
      <x:c r="C154" s="8" t="n">
        <x:f>Solactive_GBS!B10</x:f>
        <x:v>423.5773551644206</x:v>
      </x:c>
      <x:c r="D154" s="10" t="n">
        <x:f>Solactive_GBS!C10</x:f>
        <x:v>0.00935018520970865</x:v>
      </x:c>
      <x:c r="E154" s="12" t="n">
        <x:f>Sources!I154</x:f>
        <x:v>80.6</x:v>
      </x:c>
      <x:c r="F154" s="10" t="n">
        <x:f>E154/E153-1</x:f>
        <x:v>-0.008610086100861003</x:v>
      </x:c>
      <x:c r="G154" s="10" t="n">
        <x:f>(1+D154)/(1+F154)-1</x:f>
        <x:v>0.018116253815748218</x:v>
      </x:c>
    </x:row>
    <x:row r="155">
      <x:c r="A155" s="6" t="n">
        <x:v>39141</x:v>
      </x:c>
      <x:c r="B155" t="str">
        <x:f>IF(A155&lt;=DATE(2006,5,31),"MSCI ACWI GBP Net Return",IF(A155&lt;=DATE(2024,2,29),"Solactive GBS Global Markets L&amp;M GBP NTR","PACW actual grossed up by OCF"))</x:f>
        <x:v>Solactive GBS Global Markets L&amp;M GBP NTR</x:v>
      </x:c>
      <x:c r="C155" s="8" t="n">
        <x:f>Solactive_GBS!B11</x:f>
        <x:v>420.68034776636614</x:v>
      </x:c>
      <x:c r="D155" s="10" t="n">
        <x:f>Solactive_GBS!C11</x:f>
        <x:v>-0.006839382140553685</x:v>
      </x:c>
      <x:c r="E155" s="12" t="n">
        <x:f>Sources!I155</x:f>
        <x:v>81</x:v>
      </x:c>
      <x:c r="F155" s="10" t="n">
        <x:f>E155/E154-1</x:f>
        <x:v>0.00496277915632759</x:v>
      </x:c>
      <x:c r="G155" s="10" t="n">
        <x:f>(1+D155)/(1+F155)-1</x:f>
        <x:v>-0.011743879018871972</x:v>
      </x:c>
    </x:row>
    <x:row r="156">
      <x:c r="A156" s="6" t="n">
        <x:v>39172</x:v>
      </x:c>
      <x:c r="B156" t="str">
        <x:f>IF(A156&lt;=DATE(2006,5,31),"MSCI ACWI GBP Net Return",IF(A156&lt;=DATE(2024,2,29),"Solactive GBS Global Markets L&amp;M GBP NTR","PACW actual grossed up by OCF"))</x:f>
        <x:v>Solactive GBS Global Markets L&amp;M GBP NTR</x:v>
      </x:c>
      <x:c r="C156" s="8" t="n">
        <x:f>Solactive_GBS!B12</x:f>
        <x:v>428.2807184735366</x:v>
      </x:c>
      <x:c r="D156" s="10" t="n">
        <x:f>Solactive_GBS!C12</x:f>
        <x:v>0.018066854673685517</x:v>
      </x:c>
      <x:c r="E156" s="12" t="n">
        <x:f>Sources!I156</x:f>
        <x:v>81.4</x:v>
      </x:c>
      <x:c r="F156" s="10" t="n">
        <x:f>E156/E155-1</x:f>
        <x:v>0.004938271604938427</x:v>
      </x:c>
      <x:c r="G156" s="10" t="n">
        <x:f>(1+D156)/(1+F156)-1</x:f>
        <x:v>0.013064069147033397</x:v>
      </x:c>
    </x:row>
    <x:row r="157">
      <x:c r="A157" s="6" t="n">
        <x:v>39202</x:v>
      </x:c>
      <x:c r="B157" t="str">
        <x:f>IF(A157&lt;=DATE(2006,5,31),"MSCI ACWI GBP Net Return",IF(A157&lt;=DATE(2024,2,29),"Solactive GBS Global Markets L&amp;M GBP NTR","PACW actual grossed up by OCF"))</x:f>
        <x:v>Solactive GBS Global Markets L&amp;M GBP NTR</x:v>
      </x:c>
      <x:c r="C157" s="8" t="n">
        <x:f>Solactive_GBS!B13</x:f>
        <x:v>438.5535842036952</x:v>
      </x:c>
      <x:c r="D157" s="10" t="n">
        <x:f>Solactive_GBS!C13</x:f>
        <x:v>0.023986290503043906</x:v>
      </x:c>
      <x:c r="E157" s="12" t="n">
        <x:f>Sources!I157</x:f>
        <x:v>81.6</x:v>
      </x:c>
      <x:c r="F157" s="10" t="n">
        <x:f>E157/E156-1</x:f>
        <x:v>0.002457002457002311</x:v>
      </x:c>
      <x:c r="G157" s="10" t="n">
        <x:f>(1+D157)/(1+F157)-1</x:f>
        <x:v>0.02147652018318369</x:v>
      </x:c>
    </x:row>
    <x:row r="158">
      <x:c r="A158" s="6" t="n">
        <x:v>39233</x:v>
      </x:c>
      <x:c r="B158" t="str">
        <x:f>IF(A158&lt;=DATE(2006,5,31),"MSCI ACWI GBP Net Return",IF(A158&lt;=DATE(2024,2,29),"Solactive GBS Global Markets L&amp;M GBP NTR","PACW actual grossed up by OCF"))</x:f>
        <x:v>Solactive GBS Global Markets L&amp;M GBP NTR</x:v>
      </x:c>
      <x:c r="C158" s="8" t="n">
        <x:f>Solactive_GBS!B14</x:f>
        <x:v>457.05989995244</x:v>
      </x:c>
      <x:c r="D158" s="10" t="n">
        <x:f>Solactive_GBS!C14</x:f>
        <x:v>0.04219852810540292</x:v>
      </x:c>
      <x:c r="E158" s="12" t="n">
        <x:f>Sources!I158</x:f>
        <x:v>81.8</x:v>
      </x:c>
      <x:c r="F158" s="10" t="n">
        <x:f>E158/E157-1</x:f>
        <x:v>0.002450980392156854</x:v>
      </x:c>
      <x:c r="G158" s="10" t="n">
        <x:f>(1+D158)/(1+F158)-1</x:f>
        <x:v>0.03965036544499845</x:v>
      </x:c>
    </x:row>
    <x:row r="159">
      <x:c r="A159" s="6" t="n">
        <x:v>39263</x:v>
      </x:c>
      <x:c r="B159" t="str">
        <x:f>IF(A159&lt;=DATE(2006,5,31),"MSCI ACWI GBP Net Return",IF(A159&lt;=DATE(2024,2,29),"Solactive GBS Global Markets L&amp;M GBP NTR","PACW actual grossed up by OCF"))</x:f>
        <x:v>Solactive GBS Global Markets L&amp;M GBP NTR</x:v>
      </x:c>
      <x:c r="C159" s="8" t="n">
        <x:f>Solactive_GBS!B15</x:f>
        <x:v>449.64472346328057</x:v>
      </x:c>
      <x:c r="D159" s="10" t="n">
        <x:f>Solactive_GBS!C15</x:f>
        <x:v>-0.01622364265587728</x:v>
      </x:c>
      <x:c r="E159" s="12" t="n">
        <x:f>Sources!I159</x:f>
        <x:v>82</x:v>
      </x:c>
      <x:c r="F159" s="10" t="n">
        <x:f>E159/E158-1</x:f>
        <x:v>0.0024449877750611915</x:v>
      </x:c>
      <x:c r="G159" s="10" t="n">
        <x:f>(1+D159)/(1+F159)-1</x:f>
        <x:v>-0.018623097185984983</x:v>
      </x:c>
    </x:row>
    <x:row r="160">
      <x:c r="A160" s="6" t="n">
        <x:v>39294</x:v>
      </x:c>
      <x:c r="B160" t="str">
        <x:f>IF(A160&lt;=DATE(2006,5,31),"MSCI ACWI GBP Net Return",IF(A160&lt;=DATE(2024,2,29),"Solactive GBS Global Markets L&amp;M GBP NTR","PACW actual grossed up by OCF"))</x:f>
        <x:v>Solactive GBS Global Markets L&amp;M GBP NTR</x:v>
      </x:c>
      <x:c r="C160" s="8" t="n">
        <x:f>Solactive_GBS!B16</x:f>
        <x:v>437.3780282905982</x:v>
      </x:c>
      <x:c r="D160" s="10" t="n">
        <x:f>Solactive_GBS!C16</x:f>
        <x:v>-0.027280860938834306</x:v>
      </x:c>
      <x:c r="E160" s="12" t="n">
        <x:f>Sources!I160</x:f>
        <x:v>81.5</x:v>
      </x:c>
      <x:c r="F160" s="10" t="n">
        <x:f>E160/E159-1</x:f>
        <x:v>-0.0060975609756097615</x:v>
      </x:c>
      <x:c r="G160" s="10" t="n">
        <x:f>(1+D160)/(1+F160)-1</x:f>
        <x:v>-0.021313258858704498</x:v>
      </x:c>
    </x:row>
    <x:row r="161">
      <x:c r="A161" s="6" t="n">
        <x:v>39325</x:v>
      </x:c>
      <x:c r="B161" t="str">
        <x:f>IF(A161&lt;=DATE(2006,5,31),"MSCI ACWI GBP Net Return",IF(A161&lt;=DATE(2024,2,29),"Solactive GBS Global Markets L&amp;M GBP NTR","PACW actual grossed up by OCF"))</x:f>
        <x:v>Solactive GBS Global Markets L&amp;M GBP NTR</x:v>
      </x:c>
      <x:c r="C161" s="8" t="n">
        <x:f>Solactive_GBS!B17</x:f>
        <x:v>439.32000335207886</x:v>
      </x:c>
      <x:c r="D161" s="10" t="n">
        <x:f>Solactive_GBS!C17</x:f>
        <x:v>0.004440037989723589</x:v>
      </x:c>
      <x:c r="E161" s="12" t="n">
        <x:f>Sources!I161</x:f>
        <x:v>81.8</x:v>
      </x:c>
      <x:c r="F161" s="10" t="n">
        <x:f>E161/E160-1</x:f>
        <x:v>0.0036809815950920033</x:v>
      </x:c>
      <x:c r="G161" s="10" t="n">
        <x:f>(1+D161)/(1+F161)-1</x:f>
        <x:v>0.0007562725692233929</x:v>
      </x:c>
    </x:row>
    <x:row r="162">
      <x:c r="A162" s="6" t="n">
        <x:v>39355</x:v>
      </x:c>
      <x:c r="B162" t="str">
        <x:f>IF(A162&lt;=DATE(2006,5,31),"MSCI ACWI GBP Net Return",IF(A162&lt;=DATE(2024,2,29),"Solactive GBS Global Markets L&amp;M GBP NTR","PACW actual grossed up by OCF"))</x:f>
        <x:v>Solactive GBS Global Markets L&amp;M GBP NTR</x:v>
      </x:c>
      <x:c r="C162" s="8" t="n">
        <x:f>Solactive_GBS!B18</x:f>
        <x:v>458.3767732995884</x:v>
      </x:c>
      <x:c r="D162" s="10" t="n">
        <x:f>Solactive_GBS!C18</x:f>
        <x:v>0.04337787899959822</x:v>
      </x:c>
      <x:c r="E162" s="12" t="n">
        <x:f>Sources!I162</x:f>
        <x:v>81.9</x:v>
      </x:c>
      <x:c r="F162" s="10" t="n">
        <x:f>E162/E161-1</x:f>
        <x:v>0.0012224938875307068</x:v>
      </x:c>
      <x:c r="G162" s="10" t="n">
        <x:f>(1+D162)/(1+F162)-1</x:f>
        <x:v>0.042103913335374</x:v>
      </x:c>
    </x:row>
    <x:row r="163">
      <x:c r="A163" s="6" t="n">
        <x:v>39386</x:v>
      </x:c>
      <x:c r="B163" t="str">
        <x:f>IF(A163&lt;=DATE(2006,5,31),"MSCI ACWI GBP Net Return",IF(A163&lt;=DATE(2024,2,29),"Solactive GBS Global Markets L&amp;M GBP NTR","PACW actual grossed up by OCF"))</x:f>
        <x:v>Solactive GBS Global Markets L&amp;M GBP NTR</x:v>
      </x:c>
      <x:c r="C163" s="8" t="n">
        <x:f>Solactive_GBS!B19</x:f>
        <x:v>466.9162211491648</x:v>
      </x:c>
      <x:c r="D163" s="10" t="n">
        <x:f>Solactive_GBS!C19</x:f>
        <x:v>0.018629756887780013</x:v>
      </x:c>
      <x:c r="E163" s="12" t="n">
        <x:f>Sources!I163</x:f>
        <x:v>82.3</x:v>
      </x:c>
      <x:c r="F163" s="10" t="n">
        <x:f>E163/E162-1</x:f>
        <x:v>0.004884004884004867</x:v>
      </x:c>
      <x:c r="G163" s="10" t="n">
        <x:f>(1+D163)/(1+F163)-1</x:f>
        <x:v>0.013678943974595237</x:v>
      </x:c>
    </x:row>
    <x:row r="164">
      <x:c r="A164" s="6" t="n">
        <x:v>39416</x:v>
      </x:c>
      <x:c r="B164" t="str">
        <x:f>IF(A164&lt;=DATE(2006,5,31),"MSCI ACWI GBP Net Return",IF(A164&lt;=DATE(2024,2,29),"Solactive GBS Global Markets L&amp;M GBP NTR","PACW actual grossed up by OCF"))</x:f>
        <x:v>Solactive GBS Global Markets L&amp;M GBP NTR</x:v>
      </x:c>
      <x:c r="C164" s="8" t="n">
        <x:f>Solactive_GBS!B20</x:f>
        <x:v>451.93201451280675</x:v>
      </x:c>
      <x:c r="D164" s="10" t="n">
        <x:f>Solactive_GBS!C20</x:f>
        <x:v>-0.03209185279423199</x:v>
      </x:c>
      <x:c r="E164" s="12" t="n">
        <x:f>Sources!I164</x:f>
        <x:v>82.5</x:v>
      </x:c>
      <x:c r="F164" s="10" t="n">
        <x:f>E164/E163-1</x:f>
        <x:v>0.002430133657351119</x:v>
      </x:c>
      <x:c r="G164" s="10" t="n">
        <x:f>(1+D164)/(1+F164)-1</x:f>
        <x:v>-0.03443829678745802</x:v>
      </x:c>
    </x:row>
    <x:row r="165">
      <x:c r="A165" s="6" t="n">
        <x:v>39447</x:v>
      </x:c>
      <x:c r="B165" t="str">
        <x:f>IF(A165&lt;=DATE(2006,5,31),"MSCI ACWI GBP Net Return",IF(A165&lt;=DATE(2024,2,29),"Solactive GBS Global Markets L&amp;M GBP NTR","PACW actual grossed up by OCF"))</x:f>
        <x:v>Solactive GBS Global Markets L&amp;M GBP NTR</x:v>
      </x:c>
      <x:c r="C165" s="8" t="n">
        <x:f>Solactive_GBS!B21</x:f>
        <x:v>461.76497274664416</x:v>
      </x:c>
      <x:c r="D165" s="10" t="n">
        <x:f>Solactive_GBS!C21</x:f>
        <x:v>0.02175760494515444</x:v>
      </x:c>
      <x:c r="E165" s="12" t="n">
        <x:f>Sources!I165</x:f>
        <x:v>83</x:v>
      </x:c>
      <x:c r="F165" s="10" t="n">
        <x:f>E165/E164-1</x:f>
        <x:v>0.0060606060606061</x:v>
      </x:c>
      <x:c r="G165" s="10" t="n">
        <x:f>(1+D165)/(1+F165)-1</x:f>
        <x:v>0.015602438650303974</x:v>
      </x:c>
    </x:row>
    <x:row r="166">
      <x:c r="A166" s="6" t="n">
        <x:v>39478</x:v>
      </x:c>
      <x:c r="B166" t="str">
        <x:f>IF(A166&lt;=DATE(2006,5,31),"MSCI ACWI GBP Net Return",IF(A166&lt;=DATE(2024,2,29),"Solactive GBS Global Markets L&amp;M GBP NTR","PACW actual grossed up by OCF"))</x:f>
        <x:v>Solactive GBS Global Markets L&amp;M GBP NTR</x:v>
      </x:c>
      <x:c r="C166" s="8" t="n">
        <x:f>Solactive_GBS!B22</x:f>
        <x:v>424.8195809960016</x:v>
      </x:c>
      <x:c r="D166" s="10" t="n">
        <x:f>Solactive_GBS!C22</x:f>
        <x:v>-0.08000908239290239</x:v>
      </x:c>
      <x:c r="E166" s="12" t="n">
        <x:f>Sources!I166</x:f>
        <x:v>82.4</x:v>
      </x:c>
      <x:c r="F166" s="10" t="n">
        <x:f>E166/E165-1</x:f>
        <x:v>-0.0072289156626504925</x:v>
      </x:c>
      <x:c r="G166" s="10" t="n">
        <x:f>(1+D166)/(1+F166)-1</x:f>
        <x:v>-0.07331011940061782</x:v>
      </x:c>
    </x:row>
    <x:row r="167">
      <x:c r="A167" s="6" t="n">
        <x:v>39507</x:v>
      </x:c>
      <x:c r="B167" t="str">
        <x:f>IF(A167&lt;=DATE(2006,5,31),"MSCI ACWI GBP Net Return",IF(A167&lt;=DATE(2024,2,29),"Solactive GBS Global Markets L&amp;M GBP NTR","PACW actual grossed up by OCF"))</x:f>
        <x:v>Solactive GBS Global Markets L&amp;M GBP NTR</x:v>
      </x:c>
      <x:c r="C167" s="8" t="n">
        <x:f>Solactive_GBS!B23</x:f>
        <x:v>425.63899418215533</x:v>
      </x:c>
      <x:c r="D167" s="10" t="n">
        <x:f>Solactive_GBS!C23</x:f>
        <x:v>0.0019288498525247277</x:v>
      </x:c>
      <x:c r="E167" s="12" t="n">
        <x:f>Sources!I167</x:f>
        <x:v>83</x:v>
      </x:c>
      <x:c r="F167" s="10" t="n">
        <x:f>E167/E166-1</x:f>
        <x:v>0.007281553398058138</x:v>
      </x:c>
      <x:c r="G167" s="10" t="n">
        <x:f>(1+D167)/(1+F167)-1</x:f>
        <x:v>-0.005314009303035605</x:v>
      </x:c>
    </x:row>
    <x:row r="168">
      <x:c r="A168" s="6" t="n">
        <x:v>39538</x:v>
      </x:c>
      <x:c r="B168" t="str">
        <x:f>IF(A168&lt;=DATE(2006,5,31),"MSCI ACWI GBP Net Return",IF(A168&lt;=DATE(2024,2,29),"Solactive GBS Global Markets L&amp;M GBP NTR","PACW actual grossed up by OCF"))</x:f>
        <x:v>Solactive GBS Global Markets L&amp;M GBP NTR</x:v>
      </x:c>
      <x:c r="C168" s="8" t="n">
        <x:f>Solactive_GBS!B24</x:f>
        <x:v>419.53499275651393</x:v>
      </x:c>
      <x:c r="D168" s="10" t="n">
        <x:f>Solactive_GBS!C24</x:f>
        <x:v>-0.014340794685341107</x:v>
      </x:c>
      <x:c r="E168" s="12" t="n">
        <x:f>Sources!I168</x:f>
        <x:v>83.4</x:v>
      </x:c>
      <x:c r="F168" s="10" t="n">
        <x:f>E168/E167-1</x:f>
        <x:v>0.004819277108433884</x:v>
      </x:c>
      <x:c r="G168" s="10" t="n">
        <x:f>(1+D168)/(1+F168)-1</x:f>
        <x:v>-0.019068176965027828</x:v>
      </x:c>
    </x:row>
    <x:row r="169">
      <x:c r="A169" s="6" t="n">
        <x:v>39568</x:v>
      </x:c>
      <x:c r="B169" t="str">
        <x:f>IF(A169&lt;=DATE(2006,5,31),"MSCI ACWI GBP Net Return",IF(A169&lt;=DATE(2024,2,29),"Solactive GBS Global Markets L&amp;M GBP NTR","PACW actual grossed up by OCF"))</x:f>
        <x:v>Solactive GBS Global Markets L&amp;M GBP NTR</x:v>
      </x:c>
      <x:c r="C169" s="8" t="n">
        <x:f>Solactive_GBS!B25</x:f>
        <x:v>444.65017786061617</x:v>
      </x:c>
      <x:c r="D169" s="10" t="n">
        <x:f>Solactive_GBS!C25</x:f>
        <x:v>0.059864339179636294</x:v>
      </x:c>
      <x:c r="E169" s="12" t="n">
        <x:f>Sources!I169</x:f>
        <x:v>84</x:v>
      </x:c>
      <x:c r="F169" s="10" t="n">
        <x:f>E169/E168-1</x:f>
        <x:v>0.007194244604316502</x:v>
      </x:c>
      <x:c r="G169" s="10" t="n">
        <x:f>(1+D169)/(1+F169)-1</x:f>
        <x:v>0.05229387961406751</x:v>
      </x:c>
    </x:row>
    <x:row r="170">
      <x:c r="A170" s="6" t="n">
        <x:v>39599</x:v>
      </x:c>
      <x:c r="B170" t="str">
        <x:f>IF(A170&lt;=DATE(2006,5,31),"MSCI ACWI GBP Net Return",IF(A170&lt;=DATE(2024,2,29),"Solactive GBS Global Markets L&amp;M GBP NTR","PACW actual grossed up by OCF"))</x:f>
        <x:v>Solactive GBS Global Markets L&amp;M GBP NTR</x:v>
      </x:c>
      <x:c r="C170" s="8" t="n">
        <x:f>Solactive_GBS!B26</x:f>
        <x:v>452.675070698303</x:v>
      </x:c>
      <x:c r="D170" s="10" t="n">
        <x:f>Solactive_GBS!C26</x:f>
        <x:v>0.01804765462210689</x:v>
      </x:c>
      <x:c r="E170" s="12" t="n">
        <x:f>Sources!I170</x:f>
        <x:v>84.6</x:v>
      </x:c>
      <x:c r="F170" s="10" t="n">
        <x:f>E170/E169-1</x:f>
        <x:v>0.0071428571428571175</x:v>
      </x:c>
      <x:c r="G170" s="10" t="n">
        <x:f>(1+D170)/(1+F170)-1</x:f>
        <x:v>0.010827458490035191</x:v>
      </x:c>
    </x:row>
    <x:row r="171">
      <x:c r="A171" s="6" t="n">
        <x:v>39629</x:v>
      </x:c>
      <x:c r="B171" t="str">
        <x:f>IF(A171&lt;=DATE(2006,5,31),"MSCI ACWI GBP Net Return",IF(A171&lt;=DATE(2024,2,29),"Solactive GBS Global Markets L&amp;M GBP NTR","PACW actual grossed up by OCF"))</x:f>
        <x:v>Solactive GBS Global Markets L&amp;M GBP NTR</x:v>
      </x:c>
      <x:c r="C171" s="8" t="n">
        <x:f>Solactive_GBS!B27</x:f>
        <x:v>412.31469756753904</x:v>
      </x:c>
      <x:c r="D171" s="10" t="n">
        <x:f>Solactive_GBS!C27</x:f>
        <x:v>-0.08915969918224886</x:v>
      </x:c>
      <x:c r="E171" s="12" t="n">
        <x:f>Sources!I171</x:f>
        <x:v>85.2</x:v>
      </x:c>
      <x:c r="F171" s="10" t="n">
        <x:f>E171/E170-1</x:f>
        <x:v>0.007092198581560405</x:v>
      </x:c>
      <x:c r="G171" s="10" t="n">
        <x:f>(1+D171)/(1+F171)-1</x:f>
        <x:v>-0.0955740674978669</x:v>
      </x:c>
    </x:row>
    <x:row r="172">
      <x:c r="A172" s="6" t="n">
        <x:v>39660</x:v>
      </x:c>
      <x:c r="B172" t="str">
        <x:f>IF(A172&lt;=DATE(2006,5,31),"MSCI ACWI GBP Net Return",IF(A172&lt;=DATE(2024,2,29),"Solactive GBS Global Markets L&amp;M GBP NTR","PACW actual grossed up by OCF"))</x:f>
        <x:v>Solactive GBS Global Markets L&amp;M GBP NTR</x:v>
      </x:c>
      <x:c r="C172" s="8" t="n">
        <x:f>Solactive_GBS!B28</x:f>
        <x:v>403.98323707049803</x:v>
      </x:c>
      <x:c r="D172" s="10" t="n">
        <x:f>Solactive_GBS!C28</x:f>
        <x:v>-0.020206557142378512</x:v>
      </x:c>
      <x:c r="E172" s="12" t="n">
        <x:f>Sources!I172</x:f>
        <x:v>85.1</x:v>
      </x:c>
      <x:c r="F172" s="10" t="n">
        <x:f>E172/E171-1</x:f>
        <x:v>-0.0011737089201878659</x:v>
      </x:c>
      <x:c r="G172" s="10" t="n">
        <x:f>(1+D172)/(1+F172)-1</x:f>
        <x:v>-0.01905521349624728</x:v>
      </x:c>
    </x:row>
    <x:row r="173">
      <x:c r="A173" s="6" t="n">
        <x:v>39691</x:v>
      </x:c>
      <x:c r="B173" t="str">
        <x:f>IF(A173&lt;=DATE(2006,5,31),"MSCI ACWI GBP Net Return",IF(A173&lt;=DATE(2024,2,29),"Solactive GBS Global Markets L&amp;M GBP NTR","PACW actual grossed up by OCF"))</x:f>
        <x:v>Solactive GBS Global Markets L&amp;M GBP NTR</x:v>
      </x:c>
      <x:c r="C173" s="8" t="n">
        <x:f>Solactive_GBS!B29</x:f>
        <x:v>429.21979561594253</x:v>
      </x:c>
      <x:c r="D173" s="10" t="n">
        <x:f>Solactive_GBS!C29</x:f>
        <x:v>0.06246932107492498</x:v>
      </x:c>
      <x:c r="E173" s="12" t="n">
        <x:f>Sources!I173</x:f>
        <x:v>85.7</x:v>
      </x:c>
      <x:c r="F173" s="10" t="n">
        <x:f>E173/E172-1</x:f>
        <x:v>0.007050528789659394</x:v>
      </x:c>
      <x:c r="G173" s="10" t="n">
        <x:f>(1+D173)/(1+F173)-1</x:f>
        <x:v>0.05503079607323347</x:v>
      </x:c>
    </x:row>
    <x:row r="174">
      <x:c r="A174" s="6" t="n">
        <x:v>39721</x:v>
      </x:c>
      <x:c r="B174" t="str">
        <x:f>IF(A174&lt;=DATE(2006,5,31),"MSCI ACWI GBP Net Return",IF(A174&lt;=DATE(2024,2,29),"Solactive GBS Global Markets L&amp;M GBP NTR","PACW actual grossed up by OCF"))</x:f>
        <x:v>Solactive GBS Global Markets L&amp;M GBP NTR</x:v>
      </x:c>
      <x:c r="C174" s="8" t="n">
        <x:f>Solactive_GBS!B30</x:f>
        <x:v>384.92646712298847</x:v>
      </x:c>
      <x:c r="D174" s="10" t="n">
        <x:f>Solactive_GBS!C30</x:f>
        <x:v>-0.10319498062616583</x:v>
      </x:c>
      <x:c r="E174" s="12" t="n">
        <x:f>Sources!I174</x:f>
        <x:v>86.1</x:v>
      </x:c>
      <x:c r="F174" s="10" t="n">
        <x:f>E174/E173-1</x:f>
        <x:v>0.004667444574095514</x:v>
      </x:c>
      <x:c r="G174" s="10" t="n">
        <x:f>(1+D174)/(1+F174)-1</x:f>
        <x:v>-0.1073613221795865</x:v>
      </x:c>
    </x:row>
    <x:row r="175">
      <x:c r="A175" s="6" t="n">
        <x:v>39752</x:v>
      </x:c>
      <x:c r="B175" t="str">
        <x:f>IF(A175&lt;=DATE(2006,5,31),"MSCI ACWI GBP Net Return",IF(A175&lt;=DATE(2024,2,29),"Solactive GBS Global Markets L&amp;M GBP NTR","PACW actual grossed up by OCF"))</x:f>
        <x:v>Solactive GBS Global Markets L&amp;M GBP NTR</x:v>
      </x:c>
      <x:c r="C175" s="8" t="n">
        <x:f>Solactive_GBS!B31</x:f>
        <x:v>341.38702155442934</x:v>
      </x:c>
      <x:c r="D175" s="10" t="n">
        <x:f>Solactive_GBS!C31</x:f>
        <x:v>-0.11311107260038777</x:v>
      </x:c>
      <x:c r="E175" s="12" t="n">
        <x:f>Sources!I175</x:f>
        <x:v>85.9</x:v>
      </x:c>
      <x:c r="F175" s="10" t="n">
        <x:f>E175/E174-1</x:f>
        <x:v>-0.0023228803716607294</x:v>
      </x:c>
      <x:c r="G175" s="10" t="n">
        <x:f>(1+D175)/(1+F175)-1</x:f>
        <x:v>-0.11104613912565076</x:v>
      </x:c>
    </x:row>
    <x:row r="176">
      <x:c r="A176" s="6" t="n">
        <x:v>39782</x:v>
      </x:c>
      <x:c r="B176" t="str">
        <x:f>IF(A176&lt;=DATE(2006,5,31),"MSCI ACWI GBP Net Return",IF(A176&lt;=DATE(2024,2,29),"Solactive GBS Global Markets L&amp;M GBP NTR","PACW actual grossed up by OCF"))</x:f>
        <x:v>Solactive GBS Global Markets L&amp;M GBP NTR</x:v>
      </x:c>
      <x:c r="C176" s="8" t="n">
        <x:f>Solactive_GBS!B32</x:f>
        <x:v>336.2796499358683</x:v>
      </x:c>
      <x:c r="D176" s="10" t="n">
        <x:f>Solactive_GBS!C32</x:f>
        <x:v>-0.014960649632507317</x:v>
      </x:c>
      <x:c r="E176" s="12" t="n">
        <x:f>Sources!I176</x:f>
        <x:v>85.8</x:v>
      </x:c>
      <x:c r="F176" s="10" t="n">
        <x:f>E176/E175-1</x:f>
        <x:v>-0.0011641443538999985</x:v>
      </x:c>
      <x:c r="G176" s="10" t="n">
        <x:f>(1+D176)/(1+F176)-1</x:f>
        <x:v>-0.013812585121589338</x:v>
      </x:c>
    </x:row>
    <x:row r="177">
      <x:c r="A177" s="6" t="n">
        <x:v>39813</x:v>
      </x:c>
      <x:c r="B177" t="str">
        <x:f>IF(A177&lt;=DATE(2006,5,31),"MSCI ACWI GBP Net Return",IF(A177&lt;=DATE(2024,2,29),"Solactive GBS Global Markets L&amp;M GBP NTR","PACW actual grossed up by OCF"))</x:f>
        <x:v>Solactive GBS Global Markets L&amp;M GBP NTR</x:v>
      </x:c>
      <x:c r="C177" s="8" t="n">
        <x:f>Solactive_GBS!B33</x:f>
        <x:v>371.8397889357884</x:v>
      </x:c>
      <x:c r="D177" s="10" t="n">
        <x:f>Solactive_GBS!C33</x:f>
        <x:v>0.10574573574910584</x:v>
      </x:c>
      <x:c r="E177" s="12" t="n">
        <x:f>Sources!I177</x:f>
        <x:v>85.5</x:v>
      </x:c>
      <x:c r="F177" s="10" t="n">
        <x:f>E177/E176-1</x:f>
        <x:v>-0.0034965034965034336</x:v>
      </x:c>
      <x:c r="G177" s="10" t="n">
        <x:f>(1+D177)/(1+F177)-1</x:f>
        <x:v>0.10962554534822555</x:v>
      </x:c>
    </x:row>
    <x:row r="178">
      <x:c r="A178" s="6" t="n">
        <x:v>39844</x:v>
      </x:c>
      <x:c r="B178" t="str">
        <x:f>IF(A178&lt;=DATE(2006,5,31),"MSCI ACWI GBP Net Return",IF(A178&lt;=DATE(2024,2,29),"Solactive GBS Global Markets L&amp;M GBP NTR","PACW actual grossed up by OCF"))</x:f>
        <x:v>Solactive GBS Global Markets L&amp;M GBP NTR</x:v>
      </x:c>
      <x:c r="C178" s="8" t="n">
        <x:f>Solactive_GBS!B34</x:f>
        <x:v>338.8849052120104</x:v>
      </x:c>
      <x:c r="D178" s="10" t="n">
        <x:f>Solactive_GBS!C34</x:f>
        <x:v>-0.08862656634486443</x:v>
      </x:c>
      <x:c r="E178" s="12" t="n">
        <x:f>Sources!I178</x:f>
        <x:v>84.9</x:v>
      </x:c>
      <x:c r="F178" s="10" t="n">
        <x:f>E178/E177-1</x:f>
        <x:v>-0.007017543859649034</x:v>
      </x:c>
      <x:c r="G178" s="10" t="n">
        <x:f>(1+D178)/(1+F178)-1</x:f>
        <x:v>-0.08218576469359151</x:v>
      </x:c>
    </x:row>
    <x:row r="179">
      <x:c r="A179" s="6" t="n">
        <x:v>39872</x:v>
      </x:c>
      <x:c r="B179" t="str">
        <x:f>IF(A179&lt;=DATE(2006,5,31),"MSCI ACWI GBP Net Return",IF(A179&lt;=DATE(2024,2,29),"Solactive GBS Global Markets L&amp;M GBP NTR","PACW actual grossed up by OCF"))</x:f>
        <x:v>Solactive GBS Global Markets L&amp;M GBP NTR</x:v>
      </x:c>
      <x:c r="C179" s="8" t="n">
        <x:f>Solactive_GBS!B35</x:f>
        <x:v>309.1011163289422</x:v>
      </x:c>
      <x:c r="D179" s="10" t="n">
        <x:f>Solactive_GBS!C35</x:f>
        <x:v>-0.08788762327562238</x:v>
      </x:c>
      <x:c r="E179" s="12" t="n">
        <x:f>Sources!I179</x:f>
        <x:v>85.6</x:v>
      </x:c>
      <x:c r="F179" s="10" t="n">
        <x:f>E179/E178-1</x:f>
        <x:v>0.008244994110718329</x:v>
      </x:c>
      <x:c r="G179" s="10" t="n">
        <x:f>(1+D179)/(1+F179)-1</x:f>
        <x:v>-0.09534648616939634</x:v>
      </x:c>
    </x:row>
    <x:row r="180">
      <x:c r="A180" s="6" t="n">
        <x:v>39903</x:v>
      </x:c>
      <x:c r="B180" t="str">
        <x:f>IF(A180&lt;=DATE(2006,5,31),"MSCI ACWI GBP Net Return",IF(A180&lt;=DATE(2024,2,29),"Solactive GBS Global Markets L&amp;M GBP NTR","PACW actual grossed up by OCF"))</x:f>
        <x:v>Solactive GBS Global Markets L&amp;M GBP NTR</x:v>
      </x:c>
      <x:c r="C180" s="8" t="n">
        <x:f>Solactive_GBS!B36</x:f>
        <x:v>332.98319285527305</x:v>
      </x:c>
      <x:c r="D180" s="10" t="n">
        <x:f>Solactive_GBS!C36</x:f>
        <x:v>0.07726299021487759</x:v>
      </x:c>
      <x:c r="E180" s="12" t="n">
        <x:f>Sources!I180</x:f>
        <x:v>85.8</x:v>
      </x:c>
      <x:c r="F180" s="10" t="n">
        <x:f>E180/E179-1</x:f>
        <x:v>0.00233644859813098</x:v>
      </x:c>
      <x:c r="G180" s="10" t="n">
        <x:f>(1+D180)/(1+F180)-1</x:f>
        <x:v>0.07475188767358398</x:v>
      </x:c>
    </x:row>
    <x:row r="181">
      <x:c r="A181" s="6" t="n">
        <x:v>39933</x:v>
      </x:c>
      <x:c r="B181" t="str">
        <x:f>IF(A181&lt;=DATE(2006,5,31),"MSCI ACWI GBP Net Return",IF(A181&lt;=DATE(2024,2,29),"Solactive GBS Global Markets L&amp;M GBP NTR","PACW actual grossed up by OCF"))</x:f>
        <x:v>Solactive GBS Global Markets L&amp;M GBP NTR</x:v>
      </x:c>
      <x:c r="C181" s="8" t="n">
        <x:f>Solactive_GBS!B37</x:f>
        <x:v>359.5064238446221</x:v>
      </x:c>
      <x:c r="D181" s="10" t="n">
        <x:f>Solactive_GBS!C37</x:f>
        <x:v>0.07965336256739253</x:v>
      </x:c>
      <x:c r="E181" s="12" t="n">
        <x:f>Sources!I181</x:f>
        <x:v>86</x:v>
      </x:c>
      <x:c r="F181" s="10" t="n">
        <x:f>E181/E180-1</x:f>
        <x:v>0.002331002331002363</x:v>
      </x:c>
      <x:c r="G181" s="10" t="n">
        <x:f>(1+D181)/(1+F181)-1</x:f>
        <x:v>0.07714254079397986</x:v>
      </x:c>
    </x:row>
    <x:row r="182">
      <x:c r="A182" s="6" t="n">
        <x:v>39964</x:v>
      </x:c>
      <x:c r="B182" t="str">
        <x:f>IF(A182&lt;=DATE(2006,5,31),"MSCI ACWI GBP Net Return",IF(A182&lt;=DATE(2024,2,29),"Solactive GBS Global Markets L&amp;M GBP NTR","PACW actual grossed up by OCF"))</x:f>
        <x:v>Solactive GBS Global Markets L&amp;M GBP NTR</x:v>
      </x:c>
      <x:c r="C182" s="8" t="n">
        <x:f>Solactive_GBS!B38</x:f>
        <x:v>363.71973476146195</x:v>
      </x:c>
      <x:c r="D182" s="10" t="n">
        <x:f>Solactive_GBS!C38</x:f>
        <x:v>0.011719709683576829</x:v>
      </x:c>
      <x:c r="E182" s="12" t="n">
        <x:f>Sources!I182</x:f>
        <x:v>86.4</x:v>
      </x:c>
      <x:c r="F182" s="10" t="n">
        <x:f>E182/E181-1</x:f>
        <x:v>0.0046511627906977715</x:v>
      </x:c>
      <x:c r="G182" s="10" t="n">
        <x:f>(1+D182)/(1+F182)-1</x:f>
        <x:v>0.007035822138745429</x:v>
      </x:c>
    </x:row>
    <x:row r="183">
      <x:c r="A183" s="6" t="n">
        <x:v>39994</x:v>
      </x:c>
      <x:c r="B183" t="str">
        <x:f>IF(A183&lt;=DATE(2006,5,31),"MSCI ACWI GBP Net Return",IF(A183&lt;=DATE(2024,2,29),"Solactive GBS Global Markets L&amp;M GBP NTR","PACW actual grossed up by OCF"))</x:f>
        <x:v>Solactive GBS Global Markets L&amp;M GBP NTR</x:v>
      </x:c>
      <x:c r="C183" s="8" t="n">
        <x:f>Solactive_GBS!B39</x:f>
        <x:v>354.0412000140277</x:v>
      </x:c>
      <x:c r="D183" s="10" t="n">
        <x:f>Solactive_GBS!C39</x:f>
        <x:v>-0.026609869694812383</x:v>
      </x:c>
      <x:c r="E183" s="12" t="n">
        <x:f>Sources!I183</x:f>
        <x:v>86.7</x:v>
      </x:c>
      <x:c r="F183" s="10" t="n">
        <x:f>E183/E182-1</x:f>
        <x:v>0.003472222222222099</x:v>
      </x:c>
      <x:c r="G183" s="10" t="n">
        <x:f>(1+D183)/(1+F183)-1</x:f>
        <x:v>-0.02997800163358455</x:v>
      </x:c>
    </x:row>
    <x:row r="184">
      <x:c r="A184" s="6" t="n">
        <x:v>40025</x:v>
      </x:c>
      <x:c r="B184" t="str">
        <x:f>IF(A184&lt;=DATE(2006,5,31),"MSCI ACWI GBP Net Return",IF(A184&lt;=DATE(2024,2,29),"Solactive GBS Global Markets L&amp;M GBP NTR","PACW actual grossed up by OCF"))</x:f>
        <x:v>Solactive GBS Global Markets L&amp;M GBP NTR</x:v>
      </x:c>
      <x:c r="C184" s="8" t="n">
        <x:f>Solactive_GBS!B40</x:f>
        <x:v>382.46993704961824</x:v>
      </x:c>
      <x:c r="D184" s="10" t="n">
        <x:f>Solactive_GBS!C40</x:f>
        <x:v>0.08029782136786379</x:v>
      </x:c>
      <x:c r="E184" s="12" t="n">
        <x:f>Sources!I184</x:f>
        <x:v>86.7</x:v>
      </x:c>
      <x:c r="F184" s="10" t="n">
        <x:f>E184/E183-1</x:f>
        <x:v>0</x:v>
      </x:c>
      <x:c r="G184" s="10" t="n">
        <x:f>(1+D184)/(1+F184)-1</x:f>
        <x:v>0.08029782136786379</x:v>
      </x:c>
    </x:row>
    <x:row r="185">
      <x:c r="A185" s="6" t="n">
        <x:v>40056</x:v>
      </x:c>
      <x:c r="B185" t="str">
        <x:f>IF(A185&lt;=DATE(2006,5,31),"MSCI ACWI GBP Net Return",IF(A185&lt;=DATE(2024,2,29),"Solactive GBS Global Markets L&amp;M GBP NTR","PACW actual grossed up by OCF"))</x:f>
        <x:v>Solactive GBS Global Markets L&amp;M GBP NTR</x:v>
      </x:c>
      <x:c r="C185" s="8" t="n">
        <x:f>Solactive_GBS!B41</x:f>
        <x:v>402.7250560447492</x:v>
      </x:c>
      <x:c r="D185" s="10" t="n">
        <x:f>Solactive_GBS!C41</x:f>
        <x:v>0.05295872180537731</x:v>
      </x:c>
      <x:c r="E185" s="12" t="n">
        <x:f>Sources!I185</x:f>
        <x:v>87</x:v>
      </x:c>
      <x:c r="F185" s="10" t="n">
        <x:f>E185/E184-1</x:f>
        <x:v>0.0034602076124568004</x:v>
      </x:c>
      <x:c r="G185" s="10" t="n">
        <x:f>(1+D185)/(1+F185)-1</x:f>
        <x:v>0.049327829661220735</x:v>
      </x:c>
    </x:row>
    <x:row r="186">
      <x:c r="A186" s="6" t="n">
        <x:v>40086</x:v>
      </x:c>
      <x:c r="B186" t="str">
        <x:f>IF(A186&lt;=DATE(2006,5,31),"MSCI ACWI GBP Net Return",IF(A186&lt;=DATE(2024,2,29),"Solactive GBS Global Markets L&amp;M GBP NTR","PACW actual grossed up by OCF"))</x:f>
        <x:v>Solactive GBS Global Markets L&amp;M GBP NTR</x:v>
      </x:c>
      <x:c r="C186" s="8" t="n">
        <x:f>Solactive_GBS!B42</x:f>
        <x:v>429.18161711561424</x:v>
      </x:c>
      <x:c r="D186" s="10" t="n">
        <x:f>Solactive_GBS!C42</x:f>
        <x:v>0.06569385409167428</x:v>
      </x:c>
      <x:c r="E186" s="12" t="n">
        <x:f>Sources!I186</x:f>
        <x:v>87.1</x:v>
      </x:c>
      <x:c r="F186" s="10" t="n">
        <x:f>E186/E185-1</x:f>
        <x:v>0.0011494252873562871</x:v>
      </x:c>
      <x:c r="G186" s="10" t="n">
        <x:f>(1+D186)/(1+F186)-1</x:f>
        <x:v>0.06447032498249894</x:v>
      </x:c>
    </x:row>
    <x:row r="187">
      <x:c r="A187" s="6" t="n">
        <x:v>40117</x:v>
      </x:c>
      <x:c r="B187" t="str">
        <x:f>IF(A187&lt;=DATE(2006,5,31),"MSCI ACWI GBP Net Return",IF(A187&lt;=DATE(2024,2,29),"Solactive GBS Global Markets L&amp;M GBP NTR","PACW actual grossed up by OCF"))</x:f>
        <x:v>Solactive GBS Global Markets L&amp;M GBP NTR</x:v>
      </x:c>
      <x:c r="C187" s="8" t="n">
        <x:f>Solactive_GBS!B43</x:f>
        <x:v>410.2222878181965</x:v>
      </x:c>
      <x:c r="D187" s="10" t="n">
        <x:f>Solactive_GBS!C43</x:f>
        <x:v>-0.04417553907559468</x:v>
      </x:c>
      <x:c r="E187" s="12" t="n">
        <x:f>Sources!I187</x:f>
        <x:v>87.2</x:v>
      </x:c>
      <x:c r="F187" s="10" t="n">
        <x:f>E187/E186-1</x:f>
        <x:v>0.0011481056257176547</x:v>
      </x:c>
      <x:c r="G187" s="10" t="n">
        <x:f>(1+D187)/(1+F187)-1</x:f>
        <x:v>-0.045271668044544744</x:v>
      </x:c>
    </x:row>
    <x:row r="188">
      <x:c r="A188" s="6" t="n">
        <x:v>40147</x:v>
      </x:c>
      <x:c r="B188" t="str">
        <x:f>IF(A188&lt;=DATE(2006,5,31),"MSCI ACWI GBP Net Return",IF(A188&lt;=DATE(2024,2,29),"Solactive GBS Global Markets L&amp;M GBP NTR","PACW actual grossed up by OCF"))</x:f>
        <x:v>Solactive GBS Global Markets L&amp;M GBP NTR</x:v>
      </x:c>
      <x:c r="C188" s="8" t="n">
        <x:f>Solactive_GBS!B44</x:f>
        <x:v>429.0847462938855</x:v>
      </x:c>
      <x:c r="D188" s="10" t="n">
        <x:f>Solactive_GBS!C44</x:f>
        <x:v>0.04598106693814863</x:v>
      </x:c>
      <x:c r="E188" s="12" t="n">
        <x:f>Sources!I188</x:f>
        <x:v>87.5</x:v>
      </x:c>
      <x:c r="F188" s="10" t="n">
        <x:f>E188/E187-1</x:f>
        <x:v>0.0034403669724769603</x:v>
      </x:c>
      <x:c r="G188" s="10" t="n">
        <x:f>(1+D188)/(1+F188)-1</x:f>
        <x:v>0.04239484613721789</x:v>
      </x:c>
    </x:row>
    <x:row r="189">
      <x:c r="A189" s="6" t="n">
        <x:v>40178</x:v>
      </x:c>
      <x:c r="B189" t="str">
        <x:f>IF(A189&lt;=DATE(2006,5,31),"MSCI ACWI GBP Net Return",IF(A189&lt;=DATE(2024,2,29),"Solactive GBS Global Markets L&amp;M GBP NTR","PACW actual grossed up by OCF"))</x:f>
        <x:v>Solactive GBS Global Markets L&amp;M GBP NTR</x:v>
      </x:c>
      <x:c r="C189" s="8" t="n">
        <x:f>Solactive_GBS!B45</x:f>
        <x:v>444.84448933243675</x:v>
      </x:c>
      <x:c r="D189" s="10" t="n">
        <x:f>Solactive_GBS!C45</x:f>
        <x:v>0.03672874222323719</x:v>
      </x:c>
      <x:c r="E189" s="12" t="n">
        <x:f>Sources!I189</x:f>
        <x:v>88</x:v>
      </x:c>
      <x:c r="F189" s="10" t="n">
        <x:f>E189/E188-1</x:f>
        <x:v>0.005714285714285783</x:v>
      </x:c>
      <x:c r="G189" s="10" t="n">
        <x:f>(1+D189)/(1+F189)-1</x:f>
        <x:v>0.03083823800605967</x:v>
      </x:c>
    </x:row>
    <x:row r="190">
      <x:c r="A190" s="6" t="n">
        <x:v>40209</x:v>
      </x:c>
      <x:c r="B190" t="str">
        <x:f>IF(A190&lt;=DATE(2006,5,31),"MSCI ACWI GBP Net Return",IF(A190&lt;=DATE(2024,2,29),"Solactive GBS Global Markets L&amp;M GBP NTR","PACW actual grossed up by OCF"))</x:f>
        <x:v>Solactive GBS Global Markets L&amp;M GBP NTR</x:v>
      </x:c>
      <x:c r="C190" s="8" t="n">
        <x:f>Solactive_GBS!B46</x:f>
        <x:v>428.892144307154</x:v>
      </x:c>
      <x:c r="D190" s="10" t="n">
        <x:f>Solactive_GBS!C46</x:f>
        <x:v>-0.035860498236635174</x:v>
      </x:c>
      <x:c r="E190" s="12" t="n">
        <x:f>Sources!I190</x:f>
        <x:v>87.8</x:v>
      </x:c>
      <x:c r="F190" s="10" t="n">
        <x:f>E190/E189-1</x:f>
        <x:v>-0.002272727272727315</x:v>
      </x:c>
      <x:c r="G190" s="10" t="n">
        <x:f>(1+D190)/(1+F190)-1</x:f>
        <x:v>-0.033664280692755066</x:v>
      </x:c>
    </x:row>
    <x:row r="191">
      <x:c r="A191" s="6" t="n">
        <x:v>40237</x:v>
      </x:c>
      <x:c r="B191" t="str">
        <x:f>IF(A191&lt;=DATE(2006,5,31),"MSCI ACWI GBP Net Return",IF(A191&lt;=DATE(2024,2,29),"Solactive GBS Global Markets L&amp;M GBP NTR","PACW actual grossed up by OCF"))</x:f>
        <x:v>Solactive GBS Global Markets L&amp;M GBP NTR</x:v>
      </x:c>
      <x:c r="C191" s="8" t="n">
        <x:f>Solactive_GBS!B47</x:f>
        <x:v>456.9476437649073</x:v>
      </x:c>
      <x:c r="D191" s="10" t="n">
        <x:f>Solactive_GBS!C47</x:f>
        <x:v>0.06541388045956187</x:v>
      </x:c>
      <x:c r="E191" s="12" t="n">
        <x:f>Sources!I191</x:f>
        <x:v>88.2</x:v>
      </x:c>
      <x:c r="F191" s="10" t="n">
        <x:f>E191/E190-1</x:f>
        <x:v>0.004555808656036442</x:v>
      </x:c>
      <x:c r="G191" s="10" t="n">
        <x:f>(1+D191)/(1+F191)-1</x:f>
        <x:v>0.060582071477885746</x:v>
      </x:c>
    </x:row>
    <x:row r="192">
      <x:c r="A192" s="6" t="n">
        <x:v>40268</x:v>
      </x:c>
      <x:c r="B192" t="str">
        <x:f>IF(A192&lt;=DATE(2006,5,31),"MSCI ACWI GBP Net Return",IF(A192&lt;=DATE(2024,2,29),"Solactive GBS Global Markets L&amp;M GBP NTR","PACW actual grossed up by OCF"))</x:f>
        <x:v>Solactive GBS Global Markets L&amp;M GBP NTR</x:v>
      </x:c>
      <x:c r="C192" s="8" t="n">
        <x:f>Solactive_GBS!B48</x:f>
        <x:v>488.0044292111643</x:v>
      </x:c>
      <x:c r="D192" s="10" t="n">
        <x:f>Solactive_GBS!C48</x:f>
        <x:v>0.06796574152428558</x:v>
      </x:c>
      <x:c r="E192" s="12" t="n">
        <x:f>Sources!I192</x:f>
        <x:v>88.7</x:v>
      </x:c>
      <x:c r="F192" s="10" t="n">
        <x:f>E192/E191-1</x:f>
        <x:v>0.005668934240362855</x:v>
      </x:c>
      <x:c r="G192" s="10" t="n">
        <x:f>(1+D192)/(1+F192)-1</x:f>
        <x:v>0.06194564151569315</x:v>
      </x:c>
    </x:row>
    <x:row r="193">
      <x:c r="A193" s="6" t="n">
        <x:v>40298</x:v>
      </x:c>
      <x:c r="B193" t="str">
        <x:f>IF(A193&lt;=DATE(2006,5,31),"MSCI ACWI GBP Net Return",IF(A193&lt;=DATE(2024,2,29),"Solactive GBS Global Markets L&amp;M GBP NTR","PACW actual grossed up by OCF"))</x:f>
        <x:v>Solactive GBS Global Markets L&amp;M GBP NTR</x:v>
      </x:c>
      <x:c r="C193" s="8" t="n">
        <x:f>Solactive_GBS!B49</x:f>
        <x:v>484.32846644073743</x:v>
      </x:c>
      <x:c r="D193" s="10" t="n">
        <x:f>Solactive_GBS!C49</x:f>
        <x:v>-0.007532642226975028</x:v>
      </x:c>
      <x:c r="E193" s="12" t="n">
        <x:f>Sources!I193</x:f>
        <x:v>89.2</x:v>
      </x:c>
      <x:c r="F193" s="10" t="n">
        <x:f>E193/E192-1</x:f>
        <x:v>0.005636978579481422</x:v>
      </x:c>
      <x:c r="G193" s="10" t="n">
        <x:f>(1+D193)/(1+F193)-1</x:f>
        <x:v>-0.013095800062025598</x:v>
      </x:c>
    </x:row>
    <x:row r="194">
      <x:c r="A194" s="6" t="n">
        <x:v>40329</x:v>
      </x:c>
      <x:c r="B194" t="str">
        <x:f>IF(A194&lt;=DATE(2006,5,31),"MSCI ACWI GBP Net Return",IF(A194&lt;=DATE(2024,2,29),"Solactive GBS Global Markets L&amp;M GBP NTR","PACW actual grossed up by OCF"))</x:f>
        <x:v>Solactive GBS Global Markets L&amp;M GBP NTR</x:v>
      </x:c>
      <x:c r="C194" s="8" t="n">
        <x:f>Solactive_GBS!B50</x:f>
        <x:v>461.9803678679</x:v>
      </x:c>
      <x:c r="D194" s="10" t="n">
        <x:f>Solactive_GBS!C50</x:f>
        <x:v>-0.04614244282825353</x:v>
      </x:c>
      <x:c r="E194" s="12" t="n">
        <x:f>Sources!I194</x:f>
        <x:v>89.4</x:v>
      </x:c>
      <x:c r="F194" s="10" t="n">
        <x:f>E194/E193-1</x:f>
        <x:v>0.0022421524663678305</x:v>
      </x:c>
      <x:c r="G194" s="10" t="n">
        <x:f>(1+D194)/(1+F194)-1</x:f>
        <x:v>-0.048276352352127794</x:v>
      </x:c>
    </x:row>
    <x:row r="195">
      <x:c r="A195" s="6" t="n">
        <x:v>40359</x:v>
      </x:c>
      <x:c r="B195" t="str">
        <x:f>IF(A195&lt;=DATE(2006,5,31),"MSCI ACWI GBP Net Return",IF(A195&lt;=DATE(2024,2,29),"Solactive GBS Global Markets L&amp;M GBP NTR","PACW actual grossed up by OCF"))</x:f>
        <x:v>Solactive GBS Global Markets L&amp;M GBP NTR</x:v>
      </x:c>
      <x:c r="C195" s="8" t="n">
        <x:f>Solactive_GBS!B51</x:f>
        <x:v>434.6451314611195</x:v>
      </x:c>
      <x:c r="D195" s="10" t="n">
        <x:f>Solactive_GBS!C51</x:f>
        <x:v>-0.05916969271429473</x:v>
      </x:c>
      <x:c r="E195" s="12" t="n">
        <x:f>Sources!I195</x:f>
        <x:v>89.5</x:v>
      </x:c>
      <x:c r="F195" s="10" t="n">
        <x:f>E195/E194-1</x:f>
        <x:v>0.0011185682326622093</x:v>
      </x:c>
      <x:c r="G195" s="10" t="n">
        <x:f>(1+D195)/(1+F195)-1</x:f>
        <x:v>-0.060220899761541324</x:v>
      </x:c>
    </x:row>
    <x:row r="196">
      <x:c r="A196" s="6" t="n">
        <x:v>40390</x:v>
      </x:c>
      <x:c r="B196" t="str">
        <x:f>IF(A196&lt;=DATE(2006,5,31),"MSCI ACWI GBP Net Return",IF(A196&lt;=DATE(2024,2,29),"Solactive GBS Global Markets L&amp;M GBP NTR","PACW actual grossed up by OCF"))</x:f>
        <x:v>Solactive GBS Global Markets L&amp;M GBP NTR</x:v>
      </x:c>
      <x:c r="C196" s="8" t="n">
        <x:f>Solactive_GBS!B52</x:f>
        <x:v>448.92275092721957</x:v>
      </x:c>
      <x:c r="D196" s="10" t="n">
        <x:f>Solactive_GBS!C52</x:f>
        <x:v>0.03284891152031055</x:v>
      </x:c>
      <x:c r="E196" s="12" t="n">
        <x:f>Sources!I196</x:f>
        <x:v>89.3</x:v>
      </x:c>
      <x:c r="F196" s="10" t="n">
        <x:f>E196/E195-1</x:f>
        <x:v>-0.0022346368715083775</x:v>
      </x:c>
      <x:c r="G196" s="10" t="n">
        <x:f>(1+D196)/(1+F196)-1</x:f>
        <x:v>0.03516212296828436</x:v>
      </x:c>
    </x:row>
    <x:row r="197">
      <x:c r="A197" s="6" t="n">
        <x:v>40421</x:v>
      </x:c>
      <x:c r="B197" t="str">
        <x:f>IF(A197&lt;=DATE(2006,5,31),"MSCI ACWI GBP Net Return",IF(A197&lt;=DATE(2024,2,29),"Solactive GBS Global Markets L&amp;M GBP NTR","PACW actual grossed up by OCF"))</x:f>
        <x:v>Solactive GBS Global Markets L&amp;M GBP NTR</x:v>
      </x:c>
      <x:c r="C197" s="8" t="n">
        <x:f>Solactive_GBS!B53</x:f>
        <x:v>441.2790732644535</x:v>
      </x:c>
      <x:c r="D197" s="10" t="n">
        <x:f>Solactive_GBS!C53</x:f>
        <x:v>-0.017026710379410726</x:v>
      </x:c>
      <x:c r="E197" s="12" t="n">
        <x:f>Sources!I197</x:f>
        <x:v>89.8</x:v>
      </x:c>
      <x:c r="F197" s="10" t="n">
        <x:f>E197/E196-1</x:f>
        <x:v>0.005599104143336975</x:v>
      </x:c>
      <x:c r="G197" s="10" t="n">
        <x:f>(1+D197)/(1+F197)-1</x:f>
        <x:v>-0.022499835600015228</x:v>
      </x:c>
    </x:row>
    <x:row r="198">
      <x:c r="A198" s="6" t="n">
        <x:v>40451</x:v>
      </x:c>
      <x:c r="B198" t="str">
        <x:f>IF(A198&lt;=DATE(2006,5,31),"MSCI ACWI GBP Net Return",IF(A198&lt;=DATE(2024,2,29),"Solactive GBS Global Markets L&amp;M GBP NTR","PACW actual grossed up by OCF"))</x:f>
        <x:v>Solactive GBS Global Markets L&amp;M GBP NTR</x:v>
      </x:c>
      <x:c r="C198" s="8" t="n">
        <x:f>Solactive_GBS!B54</x:f>
        <x:v>471.2189951190139</x:v>
      </x:c>
      <x:c r="D198" s="10" t="n">
        <x:f>Solactive_GBS!C54</x:f>
        <x:v>0.06784804371771735</x:v>
      </x:c>
      <x:c r="E198" s="12" t="n">
        <x:f>Sources!I198</x:f>
        <x:v>89.8</x:v>
      </x:c>
      <x:c r="F198" s="10" t="n">
        <x:f>E198/E197-1</x:f>
        <x:v>0</x:v>
      </x:c>
      <x:c r="G198" s="10" t="n">
        <x:f>(1+D198)/(1+F198)-1</x:f>
        <x:v>0.06784804371771735</x:v>
      </x:c>
    </x:row>
    <x:row r="199">
      <x:c r="A199" s="6" t="n">
        <x:v>40482</x:v>
      </x:c>
      <x:c r="B199" t="str">
        <x:f>IF(A199&lt;=DATE(2006,5,31),"MSCI ACWI GBP Net Return",IF(A199&lt;=DATE(2024,2,29),"Solactive GBS Global Markets L&amp;M GBP NTR","PACW actual grossed up by OCF"))</x:f>
        <x:v>Solactive GBS Global Markets L&amp;M GBP NTR</x:v>
      </x:c>
      <x:c r="C199" s="8" t="n">
        <x:f>Solactive_GBS!B55</x:f>
        <x:v>481.24512516794584</x:v>
      </x:c>
      <x:c r="D199" s="10" t="n">
        <x:f>Solactive_GBS!C55</x:f>
        <x:v>0.02127700740586591</x:v>
      </x:c>
      <x:c r="E199" s="12" t="n">
        <x:f>Sources!I199</x:f>
        <x:v>90</x:v>
      </x:c>
      <x:c r="F199" s="10" t="n">
        <x:f>E199/E198-1</x:f>
        <x:v>0.00222717149220486</x:v>
      </x:c>
      <x:c r="G199" s="10" t="n">
        <x:f>(1+D199)/(1+F199)-1</x:f>
        <x:v>0.019007502944964116</x:v>
      </x:c>
    </x:row>
    <x:row r="200">
      <x:c r="A200" s="6" t="n">
        <x:v>40512</x:v>
      </x:c>
      <x:c r="B200" t="str">
        <x:f>IF(A200&lt;=DATE(2006,5,31),"MSCI ACWI GBP Net Return",IF(A200&lt;=DATE(2024,2,29),"Solactive GBS Global Markets L&amp;M GBP NTR","PACW actual grossed up by OCF"))</x:f>
        <x:v>Solactive GBS Global Markets L&amp;M GBP NTR</x:v>
      </x:c>
      <x:c r="C200" s="8" t="n">
        <x:f>Solactive_GBS!B56</x:f>
        <x:v>483.16601657999126</x:v>
      </x:c>
      <x:c r="D200" s="10" t="n">
        <x:f>Solactive_GBS!C56</x:f>
        <x:v>0.003991503106395289</x:v>
      </x:c>
      <x:c r="E200" s="12" t="n">
        <x:f>Sources!I200</x:f>
        <x:v>90.3</x:v>
      </x:c>
      <x:c r="F200" s="10" t="n">
        <x:f>E200/E199-1</x:f>
        <x:v>0.0033333333333334103</x:v>
      </x:c>
      <x:c r="G200" s="10" t="n">
        <x:f>(1+D200)/(1+F200)-1</x:f>
        <x:v>0.0006559831625201351</x:v>
      </x:c>
    </x:row>
    <x:row r="201">
      <x:c r="A201" s="6" t="n">
        <x:v>40543</x:v>
      </x:c>
      <x:c r="B201" t="str">
        <x:f>IF(A201&lt;=DATE(2006,5,31),"MSCI ACWI GBP Net Return",IF(A201&lt;=DATE(2024,2,29),"Solactive GBS Global Markets L&amp;M GBP NTR","PACW actual grossed up by OCF"))</x:f>
        <x:v>Solactive GBS Global Markets L&amp;M GBP NTR</x:v>
      </x:c>
      <x:c r="C201" s="8" t="n">
        <x:f>Solactive_GBS!B57</x:f>
        <x:v>515.7721653455465</x:v>
      </x:c>
      <x:c r="D201" s="10" t="n">
        <x:f>Solactive_GBS!C57</x:f>
        <x:v>0.06748435868141622</x:v>
      </x:c>
      <x:c r="E201" s="12" t="n">
        <x:f>Sources!I201</x:f>
        <x:v>91.2</x:v>
      </x:c>
      <x:c r="F201" s="10" t="n">
        <x:f>E201/E200-1</x:f>
        <x:v>0.009966777408637828</x:v>
      </x:c>
      <x:c r="G201" s="10" t="n">
        <x:f>(1+D201)/(1+F201)-1</x:f>
        <x:v>0.05694997356284959</x:v>
      </x:c>
    </x:row>
    <x:row r="202">
      <x:c r="A202" s="6" t="n">
        <x:v>40574</x:v>
      </x:c>
      <x:c r="B202" t="str">
        <x:f>IF(A202&lt;=DATE(2006,5,31),"MSCI ACWI GBP Net Return",IF(A202&lt;=DATE(2024,2,29),"Solactive GBS Global Markets L&amp;M GBP NTR","PACW actual grossed up by OCF"))</x:f>
        <x:v>Solactive GBS Global Markets L&amp;M GBP NTR</x:v>
      </x:c>
      <x:c r="C202" s="8" t="n">
        <x:f>Solactive_GBS!B58</x:f>
        <x:v>512.473428951499</x:v>
      </x:c>
      <x:c r="D202" s="10" t="n">
        <x:f>Solactive_GBS!C58</x:f>
        <x:v>-0.006395723956598931</x:v>
      </x:c>
      <x:c r="E202" s="12" t="n">
        <x:f>Sources!I202</x:f>
        <x:v>91.3</x:v>
      </x:c>
      <x:c r="F202" s="10" t="n">
        <x:f>E202/E201-1</x:f>
        <x:v>0.0010964912280702066</x:v>
      </x:c>
      <x:c r="G202" s="10" t="n">
        <x:f>(1+D202)/(1+F202)-1</x:f>
        <x:v>-0.0074840090344121535</x:v>
      </x:c>
    </x:row>
    <x:row r="203">
      <x:c r="A203" s="6" t="n">
        <x:v>40602</x:v>
      </x:c>
      <x:c r="B203" t="str">
        <x:f>IF(A203&lt;=DATE(2006,5,31),"MSCI ACWI GBP Net Return",IF(A203&lt;=DATE(2024,2,29),"Solactive GBS Global Markets L&amp;M GBP NTR","PACW actual grossed up by OCF"))</x:f>
        <x:v>Solactive GBS Global Markets L&amp;M GBP NTR</x:v>
      </x:c>
      <x:c r="C203" s="8" t="n">
        <x:f>Solactive_GBS!B59</x:f>
        <x:v>519.4481281159733</x:v>
      </x:c>
      <x:c r="D203" s="10" t="n">
        <x:f>Solactive_GBS!C59</x:f>
        <x:v>0.013609874718274018</x:v>
      </x:c>
      <x:c r="E203" s="12" t="n">
        <x:f>Sources!I203</x:f>
        <x:v>92</x:v>
      </x:c>
      <x:c r="F203" s="10" t="n">
        <x:f>E203/E202-1</x:f>
        <x:v>0.00766703176341732</x:v>
      </x:c>
      <x:c r="G203" s="10" t="n">
        <x:f>(1+D203)/(1+F203)-1</x:f>
        <x:v>0.005897625671504425</x:v>
      </x:c>
    </x:row>
    <x:row r="204">
      <x:c r="A204" s="6" t="n">
        <x:v>40633</x:v>
      </x:c>
      <x:c r="B204" t="str">
        <x:f>IF(A204&lt;=DATE(2006,5,31),"MSCI ACWI GBP Net Return",IF(A204&lt;=DATE(2024,2,29),"Solactive GBS Global Markets L&amp;M GBP NTR","PACW actual grossed up by OCF"))</x:f>
        <x:v>Solactive GBS Global Markets L&amp;M GBP NTR</x:v>
      </x:c>
      <x:c r="C204" s="8" t="n">
        <x:f>Solactive_GBS!B60</x:f>
        <x:v>526.1025837403795</x:v>
      </x:c>
      <x:c r="D204" s="10" t="n">
        <x:f>Solactive_GBS!C60</x:f>
        <x:v>0.012810625862762715</x:v>
      </x:c>
      <x:c r="E204" s="12" t="n">
        <x:f>Sources!I204</x:f>
        <x:v>92.2</x:v>
      </x:c>
      <x:c r="F204" s="10" t="n">
        <x:f>E204/E203-1</x:f>
        <x:v>0.0021739130434783593</x:v>
      </x:c>
      <x:c r="G204" s="10" t="n">
        <x:f>(1+D204)/(1+F204)-1</x:f>
        <x:v>0.010613639689524446</x:v>
      </x:c>
    </x:row>
    <x:row r="205">
      <x:c r="A205" s="6" t="n">
        <x:v>40663</x:v>
      </x:c>
      <x:c r="B205" t="str">
        <x:f>IF(A205&lt;=DATE(2006,5,31),"MSCI ACWI GBP Net Return",IF(A205&lt;=DATE(2024,2,29),"Solactive GBS Global Markets L&amp;M GBP NTR","PACW actual grossed up by OCF"))</x:f>
        <x:v>Solactive GBS Global Markets L&amp;M GBP NTR</x:v>
      </x:c>
      <x:c r="C205" s="8" t="n">
        <x:f>Solactive_GBS!B61</x:f>
        <x:v>526.0666845535034</x:v>
      </x:c>
      <x:c r="D205" s="10" t="n">
        <x:f>Solactive_GBS!C61</x:f>
        <x:v>-0.00006823609688610954</x:v>
      </x:c>
      <x:c r="E205" s="12" t="n">
        <x:f>Sources!I205</x:f>
        <x:v>93.2</x:v>
      </x:c>
      <x:c r="F205" s="10" t="n">
        <x:f>E205/E204-1</x:f>
        <x:v>0.010845986984815648</x:v>
      </x:c>
      <x:c r="G205" s="10" t="n">
        <x:f>(1+D205)/(1+F205)-1</x:f>
        <x:v>-0.010797117683829405</x:v>
      </x:c>
    </x:row>
    <x:row r="206">
      <x:c r="A206" s="6" t="n">
        <x:v>40694</x:v>
      </x:c>
      <x:c r="B206" t="str">
        <x:f>IF(A206&lt;=DATE(2006,5,31),"MSCI ACWI GBP Net Return",IF(A206&lt;=DATE(2024,2,29),"Solactive GBS Global Markets L&amp;M GBP NTR","PACW actual grossed up by OCF"))</x:f>
        <x:v>Solactive GBS Global Markets L&amp;M GBP NTR</x:v>
      </x:c>
      <x:c r="C206" s="8" t="n">
        <x:f>Solactive_GBS!B62</x:f>
        <x:v>521.509767133708</x:v>
      </x:c>
      <x:c r="D206" s="10" t="n">
        <x:f>Solactive_GBS!C62</x:f>
        <x:v>-0.008662242931545827</x:v>
      </x:c>
      <x:c r="E206" s="12" t="n">
        <x:f>Sources!I206</x:f>
        <x:v>93.4</x:v>
      </x:c>
      <x:c r="F206" s="10" t="n">
        <x:f>E206/E205-1</x:f>
        <x:v>0.0021459227467810482</x:v>
      </x:c>
      <x:c r="G206" s="10" t="n">
        <x:f>(1+D206)/(1+F206)-1</x:f>
        <x:v>-0.010785021854604504</x:v>
      </x:c>
    </x:row>
    <x:row r="207">
      <x:c r="A207" s="6" t="n">
        <x:v>40724</x:v>
      </x:c>
      <x:c r="B207" t="str">
        <x:f>IF(A207&lt;=DATE(2006,5,31),"MSCI ACWI GBP Net Return",IF(A207&lt;=DATE(2024,2,29),"Solactive GBS Global Markets L&amp;M GBP NTR","PACW actual grossed up by OCF"))</x:f>
        <x:v>Solactive GBS Global Markets L&amp;M GBP NTR</x:v>
      </x:c>
      <x:c r="C207" s="8" t="n">
        <x:f>Solactive_GBS!B63</x:f>
        <x:v>526.4456204149719</x:v>
      </x:c>
      <x:c r="D207" s="10" t="n">
        <x:f>Solactive_GBS!C63</x:f>
        <x:v>0.009464546193242107</x:v>
      </x:c>
      <x:c r="E207" s="12" t="n">
        <x:f>Sources!I207</x:f>
        <x:v>93.3</x:v>
      </x:c>
      <x:c r="F207" s="10" t="n">
        <x:f>E207/E206-1</x:f>
        <x:v>-0.0010706638115632883</x:v>
      </x:c>
      <x:c r="G207" s="10" t="n">
        <x:f>(1+D207)/(1+F207)-1</x:f>
        <x:v>0.010546501762581206</x:v>
      </x:c>
    </x:row>
    <x:row r="208">
      <x:c r="A208" s="6" t="n">
        <x:v>40755</x:v>
      </x:c>
      <x:c r="B208" t="str">
        <x:f>IF(A208&lt;=DATE(2006,5,31),"MSCI ACWI GBP Net Return",IF(A208&lt;=DATE(2024,2,29),"Solactive GBS Global Markets L&amp;M GBP NTR","PACW actual grossed up by OCF"))</x:f>
        <x:v>Solactive GBS Global Markets L&amp;M GBP NTR</x:v>
      </x:c>
      <x:c r="C208" s="8" t="n">
        <x:f>Solactive_GBS!B64</x:f>
        <x:v>506.6457942819661</x:v>
      </x:c>
      <x:c r="D208" s="10" t="n">
        <x:f>Solactive_GBS!C64</x:f>
        <x:v>-0.037610391966787615</x:v>
      </x:c>
      <x:c r="E208" s="12" t="n">
        <x:f>Sources!I208</x:f>
        <x:v>93.3</x:v>
      </x:c>
      <x:c r="F208" s="10" t="n">
        <x:f>E208/E207-1</x:f>
        <x:v>0</x:v>
      </x:c>
      <x:c r="G208" s="10" t="n">
        <x:f>(1+D208)/(1+F208)-1</x:f>
        <x:v>-0.037610391966787615</x:v>
      </x:c>
    </x:row>
    <x:row r="209">
      <x:c r="A209" s="6" t="n">
        <x:v>40786</x:v>
      </x:c>
      <x:c r="B209" t="str">
        <x:f>IF(A209&lt;=DATE(2006,5,31),"MSCI ACWI GBP Net Return",IF(A209&lt;=DATE(2024,2,29),"Solactive GBS Global Markets L&amp;M GBP NTR","PACW actual grossed up by OCF"))</x:f>
        <x:v>Solactive GBS Global Markets L&amp;M GBP NTR</x:v>
      </x:c>
      <x:c r="C209" s="8" t="n">
        <x:f>Solactive_GBS!B65</x:f>
        <x:v>473.504006855087</x:v>
      </x:c>
      <x:c r="D209" s="10" t="n">
        <x:f>Solactive_GBS!C65</x:f>
        <x:v>-0.06541411732006708</x:v>
      </x:c>
      <x:c r="E209" s="12" t="n">
        <x:f>Sources!I209</x:f>
        <x:v>93.8</x:v>
      </x:c>
      <x:c r="F209" s="10" t="n">
        <x:f>E209/E208-1</x:f>
        <x:v>0.005359056806002238</x:v>
      </x:c>
      <x:c r="G209" s="10" t="n">
        <x:f>(1+D209)/(1+F209)-1</x:f>
        <x:v>-0.07039591840045056</x:v>
      </x:c>
    </x:row>
    <x:row r="210">
      <x:c r="A210" s="6" t="n">
        <x:v>40816</x:v>
      </x:c>
      <x:c r="B210" t="str">
        <x:f>IF(A210&lt;=DATE(2006,5,31),"MSCI ACWI GBP Net Return",IF(A210&lt;=DATE(2024,2,29),"Solactive GBS Global Markets L&amp;M GBP NTR","PACW actual grossed up by OCF"))</x:f>
        <x:v>Solactive GBS Global Markets L&amp;M GBP NTR</x:v>
      </x:c>
      <x:c r="C210" s="8" t="n">
        <x:f>Solactive_GBS!B66</x:f>
        <x:v>448.8862819119804</x:v>
      </x:c>
      <x:c r="D210" s="10" t="n">
        <x:f>Solactive_GBS!C66</x:f>
        <x:v>-0.051990531414110586</x:v>
      </x:c>
      <x:c r="E210" s="12" t="n">
        <x:f>Sources!I210</x:f>
        <x:v>94.4</x:v>
      </x:c>
      <x:c r="F210" s="10" t="n">
        <x:f>E210/E209-1</x:f>
        <x:v>0.006396588486140775</x:v>
      </x:c>
      <x:c r="G210" s="10" t="n">
        <x:f>(1+D210)/(1+F210)-1</x:f>
        <x:v>-0.0580160153246142</x:v>
      </x:c>
    </x:row>
    <x:row r="211">
      <x:c r="A211" s="6" t="n">
        <x:v>40847</x:v>
      </x:c>
      <x:c r="B211" t="str">
        <x:f>IF(A211&lt;=DATE(2006,5,31),"MSCI ACWI GBP Net Return",IF(A211&lt;=DATE(2024,2,29),"Solactive GBS Global Markets L&amp;M GBP NTR","PACW actual grossed up by OCF"))</x:f>
        <x:v>Solactive GBS Global Markets L&amp;M GBP NTR</x:v>
      </x:c>
      <x:c r="C211" s="8" t="n">
        <x:f>Solactive_GBS!B67</x:f>
        <x:v>479.3031501064643</x:v>
      </x:c>
      <x:c r="D211" s="10" t="n">
        <x:f>Solactive_GBS!C67</x:f>
        <x:v>0.06776074346697936</x:v>
      </x:c>
      <x:c r="E211" s="12" t="n">
        <x:f>Sources!I211</x:f>
        <x:v>94.5</x:v>
      </x:c>
      <x:c r="F211" s="10" t="n">
        <x:f>E211/E210-1</x:f>
        <x:v>0.0010593220338981357</x:v>
      </x:c>
      <x:c r="G211" s="10" t="n">
        <x:f>(1+D211)/(1+F211)-1</x:f>
        <x:v>0.06663083791833713</x:v>
      </x:c>
    </x:row>
    <x:row r="212">
      <x:c r="A212" s="6" t="n">
        <x:v>40877</x:v>
      </x:c>
      <x:c r="B212" t="str">
        <x:f>IF(A212&lt;=DATE(2006,5,31),"MSCI ACWI GBP Net Return",IF(A212&lt;=DATE(2024,2,29),"Solactive GBS Global Markets L&amp;M GBP NTR","PACW actual grossed up by OCF"))</x:f>
        <x:v>Solactive GBS Global Markets L&amp;M GBP NTR</x:v>
      </x:c>
      <x:c r="C212" s="8" t="n">
        <x:f>Solactive_GBS!B68</x:f>
        <x:v>477.3155887759349</x:v>
      </x:c>
      <x:c r="D212" s="10" t="n">
        <x:f>Solactive_GBS!C68</x:f>
        <x:v>-0.004146772935015974</x:v>
      </x:c>
      <x:c r="E212" s="12" t="n">
        <x:f>Sources!I212</x:f>
        <x:v>94.6</x:v>
      </x:c>
      <x:c r="F212" s="10" t="n">
        <x:f>E212/E211-1</x:f>
        <x:v>0.0010582010582009804</x:v>
      </x:c>
      <x:c r="G212" s="10" t="n">
        <x:f>(1+D212)/(1+F212)-1</x:f>
        <x:v>-0.0051994719065433515</x:v>
      </x:c>
    </x:row>
    <x:row r="213">
      <x:c r="A213" s="6" t="n">
        <x:v>40908</x:v>
      </x:c>
      <x:c r="B213" t="str">
        <x:f>IF(A213&lt;=DATE(2006,5,31),"MSCI ACWI GBP Net Return",IF(A213&lt;=DATE(2024,2,29),"Solactive GBS Global Markets L&amp;M GBP NTR","PACW actual grossed up by OCF"))</x:f>
        <x:v>Solactive GBS Global Markets L&amp;M GBP NTR</x:v>
      </x:c>
      <x:c r="C213" s="8" t="n">
        <x:f>Solactive_GBS!B69</x:f>
        <x:v>482.33292751312365</x:v>
      </x:c>
      <x:c r="D213" s="10" t="n">
        <x:f>Solactive_GBS!C69</x:f>
        <x:v>0.010511575266283657</x:v>
      </x:c>
      <x:c r="E213" s="12" t="n">
        <x:f>Sources!I213</x:f>
        <x:v>95.1</x:v>
      </x:c>
      <x:c r="F213" s="10" t="n">
        <x:f>E213/E212-1</x:f>
        <x:v>0.005285412262156397</x:v>
      </x:c>
      <x:c r="G213" s="10" t="n">
        <x:f>(1+D213)/(1+F213)-1</x:f>
        <x:v>0.005198685806419023</x:v>
      </x:c>
    </x:row>
    <x:row r="214">
      <x:c r="A214" s="6" t="n">
        <x:v>40939</x:v>
      </x:c>
      <x:c r="B214" t="str">
        <x:f>IF(A214&lt;=DATE(2006,5,31),"MSCI ACWI GBP Net Return",IF(A214&lt;=DATE(2024,2,29),"Solactive GBS Global Markets L&amp;M GBP NTR","PACW actual grossed up by OCF"))</x:f>
        <x:v>Solactive GBS Global Markets L&amp;M GBP NTR</x:v>
      </x:c>
      <x:c r="C214" s="8" t="n">
        <x:f>Solactive_GBS!B70</x:f>
        <x:v>502.3789194989931</x:v>
      </x:c>
      <x:c r="D214" s="10" t="n">
        <x:f>Solactive_GBS!C70</x:f>
        <x:v>0.041560488290163455</x:v>
      </x:c>
      <x:c r="E214" s="12" t="n">
        <x:f>Sources!I214</x:f>
        <x:v>94.6</x:v>
      </x:c>
      <x:c r="F214" s="10" t="n">
        <x:f>E214/E213-1</x:f>
        <x:v>-0.00525762355415349</x:v>
      </x:c>
      <x:c r="G214" s="10" t="n">
        <x:f>(1+D214)/(1+F214)-1</x:f>
        <x:v>0.047065564866749954</x:v>
      </x:c>
    </x:row>
    <x:row r="215">
      <x:c r="A215" s="6" t="n">
        <x:v>40968</x:v>
      </x:c>
      <x:c r="B215" t="str">
        <x:f>IF(A215&lt;=DATE(2006,5,31),"MSCI ACWI GBP Net Return",IF(A215&lt;=DATE(2024,2,29),"Solactive GBS Global Markets L&amp;M GBP NTR","PACW actual grossed up by OCF"))</x:f>
        <x:v>Solactive GBS Global Markets L&amp;M GBP NTR</x:v>
      </x:c>
      <x:c r="C215" s="8" t="n">
        <x:f>Solactive_GBS!B71</x:f>
        <x:v>520.9593129349423</x:v>
      </x:c>
      <x:c r="D215" s="10" t="n">
        <x:f>Solactive_GBS!C71</x:f>
        <x:v>0.03698481905745332</x:v>
      </x:c>
      <x:c r="E215" s="12" t="n">
        <x:f>Sources!I215</x:f>
        <x:v>95.1</x:v>
      </x:c>
      <x:c r="F215" s="10" t="n">
        <x:f>E215/E214-1</x:f>
        <x:v>0.005285412262156397</x:v>
      </x:c>
      <x:c r="G215" s="10" t="n">
        <x:f>(1+D215)/(1+F215)-1</x:f>
        <x:v>0.031532743247477235</x:v>
      </x:c>
    </x:row>
    <x:row r="216">
      <x:c r="A216" s="6" t="n">
        <x:v>40999</x:v>
      </x:c>
      <x:c r="B216" t="str">
        <x:f>IF(A216&lt;=DATE(2006,5,31),"MSCI ACWI GBP Net Return",IF(A216&lt;=DATE(2024,2,29),"Solactive GBS Global Markets L&amp;M GBP NTR","PACW actual grossed up by OCF"))</x:f>
        <x:v>Solactive GBS Global Markets L&amp;M GBP NTR</x:v>
      </x:c>
      <x:c r="C216" s="8" t="n">
        <x:f>Solactive_GBS!B72</x:f>
        <x:v>524.347512381999</x:v>
      </x:c>
      <x:c r="D216" s="10" t="n">
        <x:f>Solactive_GBS!C72</x:f>
        <x:v>0.006503769801078141</x:v>
      </x:c>
      <x:c r="E216" s="12" t="n">
        <x:f>Sources!I216</x:f>
        <x:v>95.4</x:v>
      </x:c>
      <x:c r="F216" s="10" t="n">
        <x:f>E216/E215-1</x:f>
        <x:v>0.003154574132492316</x:v>
      </x:c>
      <x:c r="G216" s="10" t="n">
        <x:f>(1+D216)/(1+F216)-1</x:f>
        <x:v>0.0033386636067349595</x:v>
      </x:c>
    </x:row>
    <x:row r="217">
      <x:c r="A217" s="6" t="n">
        <x:v>41029</x:v>
      </x:c>
      <x:c r="B217" t="str">
        <x:f>IF(A217&lt;=DATE(2006,5,31),"MSCI ACWI GBP Net Return",IF(A217&lt;=DATE(2024,2,29),"Solactive GBS Global Markets L&amp;M GBP NTR","PACW actual grossed up by OCF"))</x:f>
        <x:v>Solactive GBS Global Markets L&amp;M GBP NTR</x:v>
      </x:c>
      <x:c r="C217" s="8" t="n">
        <x:f>Solactive_GBS!B73</x:f>
        <x:v>509.919458228037</x:v>
      </x:c>
      <x:c r="D217" s="10" t="n">
        <x:f>Solactive_GBS!C73</x:f>
        <x:v>-0.02751620597648763</x:v>
      </x:c>
      <x:c r="E217" s="12" t="n">
        <x:f>Sources!I217</x:f>
        <x:v>96</x:v>
      </x:c>
      <x:c r="F217" s="10" t="n">
        <x:f>E217/E216-1</x:f>
        <x:v>0.0062893081761006275</x:v>
      </x:c>
      <x:c r="G217" s="10" t="n">
        <x:f>(1+D217)/(1+F217)-1</x:f>
        <x:v>-0.033594229689134614</x:v>
      </x:c>
    </x:row>
    <x:row r="218">
      <x:c r="A218" s="6" t="n">
        <x:v>41060</x:v>
      </x:c>
      <x:c r="B218" t="str">
        <x:f>IF(A218&lt;=DATE(2006,5,31),"MSCI ACWI GBP Net Return",IF(A218&lt;=DATE(2024,2,29),"Solactive GBS Global Markets L&amp;M GBP NTR","PACW actual grossed up by OCF"))</x:f>
        <x:v>Solactive GBS Global Markets L&amp;M GBP NTR</x:v>
      </x:c>
      <x:c r="C218" s="8" t="n">
        <x:f>Solactive_GBS!B74</x:f>
        <x:v>490.0814535947029</x:v>
      </x:c>
      <x:c r="D218" s="10" t="n">
        <x:f>Solactive_GBS!C74</x:f>
        <x:v>-0.03890419224689112</x:v>
      </x:c>
      <x:c r="E218" s="12" t="n">
        <x:f>Sources!I218</x:f>
        <x:v>95.9</x:v>
      </x:c>
      <x:c r="F218" s="10" t="n">
        <x:f>E218/E217-1</x:f>
        <x:v>-0.0010416666666666075</x:v>
      </x:c>
      <x:c r="G218" s="10" t="n">
        <x:f>(1+D218)/(1+F218)-1</x:f>
        <x:v>-0.03790200683734679</x:v>
      </x:c>
    </x:row>
    <x:row r="219">
      <x:c r="A219" s="6" t="n">
        <x:v>41090</x:v>
      </x:c>
      <x:c r="B219" t="str">
        <x:f>IF(A219&lt;=DATE(2006,5,31),"MSCI ACWI GBP Net Return",IF(A219&lt;=DATE(2024,2,29),"Solactive GBS Global Markets L&amp;M GBP NTR","PACW actual grossed up by OCF"))</x:f>
        <x:v>Solactive GBS Global Markets L&amp;M GBP NTR</x:v>
      </x:c>
      <x:c r="C219" s="8" t="n">
        <x:f>Solactive_GBS!B75</x:f>
        <x:v>504.7249028699198</x:v>
      </x:c>
      <x:c r="D219" s="10" t="n">
        <x:f>Solactive_GBS!C75</x:f>
        <x:v>0.029879623413227474</x:v>
      </x:c>
      <x:c r="E219" s="12" t="n">
        <x:f>Sources!I219</x:f>
        <x:v>95.5</x:v>
      </x:c>
      <x:c r="F219" s="10" t="n">
        <x:f>E219/E218-1</x:f>
        <x:v>-0.004171011470281649</x:v>
      </x:c>
      <x:c r="G219" s="10" t="n">
        <x:f>(1+D219)/(1+F219)-1</x:f>
        <x:v>0.03419325534375428</x:v>
      </x:c>
    </x:row>
    <x:row r="220">
      <x:c r="A220" s="6" t="n">
        <x:v>41121</x:v>
      </x:c>
      <x:c r="B220" t="str">
        <x:f>IF(A220&lt;=DATE(2006,5,31),"MSCI ACWI GBP Net Return",IF(A220&lt;=DATE(2024,2,29),"Solactive GBS Global Markets L&amp;M GBP NTR","PACW actual grossed up by OCF"))</x:f>
        <x:v>Solactive GBS Global Markets L&amp;M GBP NTR</x:v>
      </x:c>
      <x:c r="C220" s="8" t="n">
        <x:f>Solactive_GBS!B76</x:f>
        <x:v>512.153185411431</x:v>
      </x:c>
      <x:c r="D220" s="10" t="n">
        <x:f>Solactive_GBS!C76</x:f>
        <x:v>0.014717487683435504</x:v>
      </x:c>
      <x:c r="E220" s="12" t="n">
        <x:f>Sources!I220</x:f>
        <x:v>95.6</x:v>
      </x:c>
      <x:c r="F220" s="10" t="n">
        <x:f>E220/E219-1</x:f>
        <x:v>0.0010471204188480243</x:v>
      </x:c>
      <x:c r="G220" s="10" t="n">
        <x:f>(1+D220)/(1+F220)-1</x:f>
        <x:v>0.013656067717239484</x:v>
      </x:c>
    </x:row>
    <x:row r="221">
      <x:c r="A221" s="6" t="n">
        <x:v>41152</x:v>
      </x:c>
      <x:c r="B221" t="str">
        <x:f>IF(A221&lt;=DATE(2006,5,31),"MSCI ACWI GBP Net Return",IF(A221&lt;=DATE(2024,2,29),"Solactive GBS Global Markets L&amp;M GBP NTR","PACW actual grossed up by OCF"))</x:f>
        <x:v>Solactive GBS Global Markets L&amp;M GBP NTR</x:v>
      </x:c>
      <x:c r="C221" s="8" t="n">
        <x:f>Solactive_GBS!B77</x:f>
        <x:v>516.4046748285991</x:v>
      </x:c>
      <x:c r="D221" s="10" t="n">
        <x:f>Solactive_GBS!C77</x:f>
        <x:v>0.008301206627764568</x:v>
      </x:c>
      <x:c r="E221" s="12" t="n">
        <x:f>Sources!I221</x:f>
        <x:v>96.1</x:v>
      </x:c>
      <x:c r="F221" s="10" t="n">
        <x:f>E221/E220-1</x:f>
        <x:v>0.0052301255230124966</x:v>
      </x:c>
      <x:c r="G221" s="10" t="n">
        <x:f>(1+D221)/(1+F221)-1</x:f>
        <x:v>0.0030551025350082917</x:v>
      </x:c>
    </x:row>
    <x:row r="222">
      <x:c r="A222" s="6" t="n">
        <x:v>41182</x:v>
      </x:c>
      <x:c r="B222" t="str">
        <x:f>IF(A222&lt;=DATE(2006,5,31),"MSCI ACWI GBP Net Return",IF(A222&lt;=DATE(2024,2,29),"Solactive GBS Global Markets L&amp;M GBP NTR","PACW actual grossed up by OCF"))</x:f>
        <x:v>Solactive GBS Global Markets L&amp;M GBP NTR</x:v>
      </x:c>
      <x:c r="C222" s="8" t="n">
        <x:f>Solactive_GBS!B78</x:f>
        <x:v>523.9531911547265</x:v>
      </x:c>
      <x:c r="D222" s="10" t="n">
        <x:f>Solactive_GBS!C78</x:f>
        <x:v>0.014617443826651533</x:v>
      </x:c>
      <x:c r="E222" s="12" t="n">
        <x:f>Sources!I222</x:f>
        <x:v>96.5</x:v>
      </x:c>
      <x:c r="F222" s="10" t="n">
        <x:f>E222/E221-1</x:f>
        <x:v>0.004162330905306932</x:v>
      </x:c>
      <x:c r="G222" s="10" t="n">
        <x:f>(1+D222)/(1+F222)-1</x:f>
        <x:v>0.010411775665712053</x:v>
      </x:c>
    </x:row>
    <x:row r="223">
      <x:c r="A223" s="6" t="n">
        <x:v>41213</x:v>
      </x:c>
      <x:c r="B223" t="str">
        <x:f>IF(A223&lt;=DATE(2006,5,31),"MSCI ACWI GBP Net Return",IF(A223&lt;=DATE(2024,2,29),"Solactive GBS Global Markets L&amp;M GBP NTR","PACW actual grossed up by OCF"))</x:f>
        <x:v>Solactive GBS Global Markets L&amp;M GBP NTR</x:v>
      </x:c>
      <x:c r="C223" s="8" t="n">
        <x:f>Solactive_GBS!B79</x:f>
        <x:v>521.2795564750113</x:v>
      </x:c>
      <x:c r="D223" s="10" t="n">
        <x:f>Solactive_GBS!C79</x:f>
        <x:v>-0.005102812092474984</x:v>
      </x:c>
      <x:c r="E223" s="12" t="n">
        <x:f>Sources!I223</x:f>
        <x:v>97</x:v>
      </x:c>
      <x:c r="F223" s="10" t="n">
        <x:f>E223/E222-1</x:f>
        <x:v>0.005181347150259086</x:v>
      </x:c>
      <x:c r="G223" s="10" t="n">
        <x:f>(1+D223)/(1+F223)-1</x:f>
        <x:v>-0.010231148112616939</x:v>
      </x:c>
    </x:row>
    <x:row r="224">
      <x:c r="A224" s="6" t="n">
        <x:v>41243</x:v>
      </x:c>
      <x:c r="B224" t="str">
        <x:f>IF(A224&lt;=DATE(2006,5,31),"MSCI ACWI GBP Net Return",IF(A224&lt;=DATE(2024,2,29),"Solactive GBS Global Markets L&amp;M GBP NTR","PACW actual grossed up by OCF"))</x:f>
        <x:v>Solactive GBS Global Markets L&amp;M GBP NTR</x:v>
      </x:c>
      <x:c r="C224" s="8" t="n">
        <x:f>Solactive_GBS!B80</x:f>
        <x:v>530.5409768606487</x:v>
      </x:c>
      <x:c r="D224" s="10" t="n">
        <x:f>Solactive_GBS!C80</x:f>
        <x:v>0.017766705543307282</x:v>
      </x:c>
      <x:c r="E224" s="12" t="n">
        <x:f>Sources!I224</x:f>
        <x:v>97.2</x:v>
      </x:c>
      <x:c r="F224" s="10" t="n">
        <x:f>E224/E223-1</x:f>
        <x:v>0.0020618556701030855</x:v>
      </x:c>
      <x:c r="G224" s="10" t="n">
        <x:f>(1+D224)/(1+F224)-1</x:f>
        <x:v>0.015672535367292184</x:v>
      </x:c>
    </x:row>
    <x:row r="225">
      <x:c r="A225" s="6" t="n">
        <x:v>41274</x:v>
      </x:c>
      <x:c r="B225" t="str">
        <x:f>IF(A225&lt;=DATE(2006,5,31),"MSCI ACWI GBP Net Return",IF(A225&lt;=DATE(2024,2,29),"Solactive GBS Global Markets L&amp;M GBP NTR","PACW actual grossed up by OCF"))</x:f>
        <x:v>Solactive GBS Global Markets L&amp;M GBP NTR</x:v>
      </x:c>
      <x:c r="C225" s="8" t="n">
        <x:f>Solactive_GBS!B81</x:f>
        <x:v>534.9104207489809</x:v>
      </x:c>
      <x:c r="D225" s="10" t="n">
        <x:f>Solactive_GBS!C81</x:f>
        <x:v>0.008235827351522174</x:v>
      </x:c>
      <x:c r="E225" s="12" t="n">
        <x:f>Sources!I225</x:f>
        <x:v>97.6</x:v>
      </x:c>
      <x:c r="F225" s="10" t="n">
        <x:f>E225/E224-1</x:f>
        <x:v>0.00411522633744843</x:v>
      </x:c>
      <x:c r="G225" s="10" t="n">
        <x:f>(1+D225)/(1+F225)-1</x:f>
        <x:v>0.004103713304999701</x:v>
      </x:c>
    </x:row>
    <x:row r="226">
      <x:c r="A226" s="6" t="n">
        <x:v>41305</x:v>
      </x:c>
      <x:c r="B226" t="str">
        <x:f>IF(A226&lt;=DATE(2006,5,31),"MSCI ACWI GBP Net Return",IF(A226&lt;=DATE(2024,2,29),"Solactive GBS Global Markets L&amp;M GBP NTR","PACW actual grossed up by OCF"))</x:f>
        <x:v>Solactive GBS Global Markets L&amp;M GBP NTR</x:v>
      </x:c>
      <x:c r="C226" s="8" t="n">
        <x:f>Solactive_GBS!B82</x:f>
        <x:v>573.7596090607758</x:v>
      </x:c>
      <x:c r="D226" s="10" t="n">
        <x:f>Solactive_GBS!C82</x:f>
        <x:v>0.07262746584259538</x:v>
      </x:c>
      <x:c r="E226" s="12" t="n">
        <x:f>Sources!I226</x:f>
        <x:v>97.1</x:v>
      </x:c>
      <x:c r="F226" s="10" t="n">
        <x:f>E226/E225-1</x:f>
        <x:v>-0.0051229508196721785</x:v>
      </x:c>
      <x:c r="G226" s="10" t="n">
        <x:f>(1+D226)/(1+F226)-1</x:f>
        <x:v>0.07815077926094038</x:v>
      </x:c>
    </x:row>
    <x:row r="227">
      <x:c r="A227" s="6" t="n">
        <x:v>41333</x:v>
      </x:c>
      <x:c r="B227" t="str">
        <x:f>IF(A227&lt;=DATE(2006,5,31),"MSCI ACWI GBP Net Return",IF(A227&lt;=DATE(2024,2,29),"Solactive GBS Global Markets L&amp;M GBP NTR","PACW actual grossed up by OCF"))</x:f>
        <x:v>Solactive GBS Global Markets L&amp;M GBP NTR</x:v>
      </x:c>
      <x:c r="C227" s="8" t="n">
        <x:f>Solactive_GBS!B83</x:f>
        <x:v>598.958558934256</x:v>
      </x:c>
      <x:c r="D227" s="10" t="n">
        <x:f>Solactive_GBS!C83</x:f>
        <x:v>0.043919002794096995</x:v>
      </x:c>
      <x:c r="E227" s="12" t="n">
        <x:f>Sources!I227</x:f>
        <x:v>97.8</x:v>
      </x:c>
      <x:c r="F227" s="10" t="n">
        <x:f>E227/E226-1</x:f>
        <x:v>0.00720906282183309</x:v>
      </x:c>
      <x:c r="G227" s="10" t="n">
        <x:f>(1+D227)/(1+F227)-1</x:f>
        <x:v>0.03644718989066287</x:v>
      </x:c>
    </x:row>
    <x:row r="228">
      <x:c r="A228" s="6" t="n">
        <x:v>41364</x:v>
      </x:c>
      <x:c r="B228" t="str">
        <x:f>IF(A228&lt;=DATE(2006,5,31),"MSCI ACWI GBP Net Return",IF(A228&lt;=DATE(2024,2,29),"Solactive GBS Global Markets L&amp;M GBP NTR","PACW actual grossed up by OCF"))</x:f>
        <x:v>Solactive GBS Global Markets L&amp;M GBP NTR</x:v>
      </x:c>
      <x:c r="C228" s="8" t="n">
        <x:f>Solactive_GBS!B84</x:f>
        <x:v>610.1984233966132</x:v>
      </x:c>
      <x:c r="D228" s="10" t="n">
        <x:f>Solactive_GBS!C84</x:f>
        <x:v>0.01876567968634868</x:v>
      </x:c>
      <x:c r="E228" s="12" t="n">
        <x:f>Sources!I228</x:f>
        <x:v>98.1</x:v>
      </x:c>
      <x:c r="F228" s="10" t="n">
        <x:f>E228/E227-1</x:f>
        <x:v>0.0030674846625766694</x:v>
      </x:c>
      <x:c r="G228" s="10" t="n">
        <x:f>(1+D228)/(1+F228)-1</x:f>
        <x:v>0.01565018831116105</x:v>
      </x:c>
    </x:row>
    <x:row r="229">
      <x:c r="A229" s="6" t="n">
        <x:v>41394</x:v>
      </x:c>
      <x:c r="B229" t="str">
        <x:f>IF(A229&lt;=DATE(2006,5,31),"MSCI ACWI GBP Net Return",IF(A229&lt;=DATE(2024,2,29),"Solactive GBS Global Markets L&amp;M GBP NTR","PACW actual grossed up by OCF"))</x:f>
        <x:v>Solactive GBS Global Markets L&amp;M GBP NTR</x:v>
      </x:c>
      <x:c r="C229" s="8" t="n">
        <x:f>Solactive_GBS!B85</x:f>
        <x:v>612.580305954416</x:v>
      </x:c>
      <x:c r="D229" s="10" t="n">
        <x:f>Solactive_GBS!C85</x:f>
        <x:v>0.0039034557718853335</x:v>
      </x:c>
      <x:c r="E229" s="12" t="n">
        <x:f>Sources!I229</x:f>
        <x:v>98.3</x:v>
      </x:c>
      <x:c r="F229" s="10" t="n">
        <x:f>E229/E228-1</x:f>
        <x:v>0.0020387359836901986</x:v>
      </x:c>
      <x:c r="G229" s="10" t="n">
        <x:f>(1+D229)/(1+F229)-1</x:f>
        <x:v>0.0018609258516983918</x:v>
      </x:c>
    </x:row>
    <x:row r="230">
      <x:c r="A230" s="6" t="n">
        <x:v>41425</x:v>
      </x:c>
      <x:c r="B230" t="str">
        <x:f>IF(A230&lt;=DATE(2006,5,31),"MSCI ACWI GBP Net Return",IF(A230&lt;=DATE(2024,2,29),"Solactive GBS Global Markets L&amp;M GBP NTR","PACW actual grossed up by OCF"))</x:f>
        <x:v>Solactive GBS Global Markets L&amp;M GBP NTR</x:v>
      </x:c>
      <x:c r="C230" s="8" t="n">
        <x:f>Solactive_GBS!B86</x:f>
        <x:v>627.3496872978812</x:v>
      </x:c>
      <x:c r="D230" s="10" t="n">
        <x:f>Solactive_GBS!C86</x:f>
        <x:v>0.02411011454319323</x:v>
      </x:c>
      <x:c r="E230" s="12" t="n">
        <x:f>Sources!I230</x:f>
        <x:v>98.5</x:v>
      </x:c>
      <x:c r="F230" s="10" t="n">
        <x:f>E230/E229-1</x:f>
        <x:v>0.0020345879959309254</x:v>
      </x:c>
      <x:c r="G230" s="10" t="n">
        <x:f>(1+D230)/(1+F230)-1</x:f>
        <x:v>0.022030703143105512</x:v>
      </x:c>
    </x:row>
    <x:row r="231">
      <x:c r="A231" s="6" t="n">
        <x:v>41455</x:v>
      </x:c>
      <x:c r="B231" t="str">
        <x:f>IF(A231&lt;=DATE(2006,5,31),"MSCI ACWI GBP Net Return",IF(A231&lt;=DATE(2024,2,29),"Solactive GBS Global Markets L&amp;M GBP NTR","PACW actual grossed up by OCF"))</x:f>
        <x:v>Solactive GBS Global Markets L&amp;M GBP NTR</x:v>
      </x:c>
      <x:c r="C231" s="8" t="n">
        <x:f>Solactive_GBS!B87</x:f>
        <x:v>608.769293861932</x:v>
      </x:c>
      <x:c r="D231" s="10" t="n">
        <x:f>Solactive_GBS!C87</x:f>
        <x:v>-0.02961728333041591</x:v>
      </x:c>
      <x:c r="E231" s="12" t="n">
        <x:f>Sources!I231</x:f>
        <x:v>98.3</x:v>
      </x:c>
      <x:c r="F231" s="10" t="n">
        <x:f>E231/E230-1</x:f>
        <x:v>-0.0020304568527919065</x:v>
      </x:c>
      <x:c r="G231" s="10" t="n">
        <x:f>(1+D231)/(1+F231)-1</x:f>
        <x:v>-0.02764295430362118</x:v>
      </x:c>
    </x:row>
    <x:row r="232">
      <x:c r="A232" s="6" t="n">
        <x:v>41486</x:v>
      </x:c>
      <x:c r="B232" t="str">
        <x:f>IF(A232&lt;=DATE(2006,5,31),"MSCI ACWI GBP Net Return",IF(A232&lt;=DATE(2024,2,29),"Solactive GBS Global Markets L&amp;M GBP NTR","PACW actual grossed up by OCF"))</x:f>
        <x:v>Solactive GBS Global Markets L&amp;M GBP NTR</x:v>
      </x:c>
      <x:c r="C232" s="8" t="n">
        <x:f>Solactive_GBS!B88</x:f>
        <x:v>638.211755555496</x:v>
      </x:c>
      <x:c r="D232" s="10" t="n">
        <x:f>Solactive_GBS!C88</x:f>
        <x:v>0.048363907296943065</x:v>
      </x:c>
      <x:c r="E232" s="12" t="n">
        <x:f>Sources!I232</x:f>
        <x:v>98.3</x:v>
      </x:c>
      <x:c r="F232" s="10" t="n">
        <x:f>E232/E231-1</x:f>
        <x:v>0</x:v>
      </x:c>
      <x:c r="G232" s="10" t="n">
        <x:f>(1+D232)/(1+F232)-1</x:f>
        <x:v>0.048363907296943065</x:v>
      </x:c>
    </x:row>
    <x:row r="233">
      <x:c r="A233" s="6" t="n">
        <x:v>41517</x:v>
      </x:c>
      <x:c r="B233" t="str">
        <x:f>IF(A233&lt;=DATE(2006,5,31),"MSCI ACWI GBP Net Return",IF(A233&lt;=DATE(2024,2,29),"Solactive GBS Global Markets L&amp;M GBP NTR","PACW actual grossed up by OCF"))</x:f>
        <x:v>Solactive GBS Global Markets L&amp;M GBP NTR</x:v>
      </x:c>
      <x:c r="C233" s="8" t="n">
        <x:f>Solactive_GBS!B89</x:f>
        <x:v>612.3136262804801</x:v>
      </x:c>
      <x:c r="D233" s="10" t="n">
        <x:f>Solactive_GBS!C89</x:f>
        <x:v>-0.04057921066100434</x:v>
      </x:c>
      <x:c r="E233" s="12" t="n">
        <x:f>Sources!I233</x:f>
        <x:v>98.7</x:v>
      </x:c>
      <x:c r="F233" s="10" t="n">
        <x:f>E233/E232-1</x:f>
        <x:v>0.004069175991861629</x:v>
      </x:c>
      <x:c r="G233" s="10" t="n">
        <x:f>(1+D233)/(1+F233)-1</x:f>
        <x:v>-0.044467440810301184</x:v>
      </x:c>
    </x:row>
    <x:row r="234">
      <x:c r="A234" s="6" t="n">
        <x:v>41547</x:v>
      </x:c>
      <x:c r="B234" t="str">
        <x:f>IF(A234&lt;=DATE(2006,5,31),"MSCI ACWI GBP Net Return",IF(A234&lt;=DATE(2024,2,29),"Solactive GBS Global Markets L&amp;M GBP NTR","PACW actual grossed up by OCF"))</x:f>
        <x:v>Solactive GBS Global Markets L&amp;M GBP NTR</x:v>
      </x:c>
      <x:c r="C234" s="8" t="n">
        <x:f>Solactive_GBS!B90</x:f>
        <x:v>615.0237299754344</x:v>
      </x:c>
      <x:c r="D234" s="10" t="n">
        <x:f>Solactive_GBS!C90</x:f>
        <x:v>0.004426005854903048</x:v>
      </x:c>
      <x:c r="E234" s="12" t="n">
        <x:f>Sources!I234</x:f>
        <x:v>99.1</x:v>
      </x:c>
      <x:c r="F234" s="10" t="n">
        <x:f>E234/E233-1</x:f>
        <x:v>0.004052684903748549</x:v>
      </x:c>
      <x:c r="G234" s="10" t="n">
        <x:f>(1+D234)/(1+F234)-1</x:f>
        <x:v>0.0003718141057411639</x:v>
      </x:c>
    </x:row>
    <x:row r="235">
      <x:c r="A235" s="6" t="n">
        <x:v>41578</x:v>
      </x:c>
      <x:c r="B235" t="str">
        <x:f>IF(A235&lt;=DATE(2006,5,31),"MSCI ACWI GBP Net Return",IF(A235&lt;=DATE(2024,2,29),"Solactive GBS Global Markets L&amp;M GBP NTR","PACW actual grossed up by OCF"))</x:f>
        <x:v>Solactive GBS Global Markets L&amp;M GBP NTR</x:v>
      </x:c>
      <x:c r="C235" s="8" t="n">
        <x:f>Solactive_GBS!B91</x:f>
        <x:v>645.0377295171993</x:v>
      </x:c>
      <x:c r="D235" s="10" t="n">
        <x:f>Solactive_GBS!C91</x:f>
        <x:v>0.0488013682707229</x:v>
      </x:c>
      <x:c r="E235" s="12" t="n">
        <x:f>Sources!I235</x:f>
        <x:v>99.1</x:v>
      </x:c>
      <x:c r="F235" s="10" t="n">
        <x:f>E235/E234-1</x:f>
        <x:v>0</x:v>
      </x:c>
      <x:c r="G235" s="10" t="n">
        <x:f>(1+D235)/(1+F235)-1</x:f>
        <x:v>0.0488013682707229</x:v>
      </x:c>
    </x:row>
    <x:row r="236">
      <x:c r="A236" s="6" t="n">
        <x:v>41608</x:v>
      </x:c>
      <x:c r="B236" t="str">
        <x:f>IF(A236&lt;=DATE(2006,5,31),"MSCI ACWI GBP Net Return",IF(A236&lt;=DATE(2024,2,29),"Solactive GBS Global Markets L&amp;M GBP NTR","PACW actual grossed up by OCF"))</x:f>
        <x:v>Solactive GBS Global Markets L&amp;M GBP NTR</x:v>
      </x:c>
      <x:c r="C236" s="8" t="n">
        <x:f>Solactive_GBS!B92</x:f>
        <x:v>641.8518191390476</x:v>
      </x:c>
      <x:c r="D236" s="10" t="n">
        <x:f>Solactive_GBS!C92</x:f>
        <x:v>-0.004939107020199063</x:v>
      </x:c>
      <x:c r="E236" s="12" t="n">
        <x:f>Sources!I236</x:f>
        <x:v>99.2</x:v>
      </x:c>
      <x:c r="F236" s="10" t="n">
        <x:f>E236/E235-1</x:f>
        <x:v>0.0010090817356207538</x:v>
      </x:c>
      <x:c r="G236" s="10" t="n">
        <x:f>(1+D236)/(1+F236)-1</x:f>
        <x:v>-0.0059421925977998225</x:v>
      </x:c>
    </x:row>
    <x:row r="237">
      <x:c r="A237" s="6" t="n">
        <x:v>41639</x:v>
      </x:c>
      <x:c r="B237" t="str">
        <x:f>IF(A237&lt;=DATE(2006,5,31),"MSCI ACWI GBP Net Return",IF(A237&lt;=DATE(2024,2,29),"Solactive GBS Global Markets L&amp;M GBP NTR","PACW actual grossed up by OCF"))</x:f>
        <x:v>Solactive GBS Global Markets L&amp;M GBP NTR</x:v>
      </x:c>
      <x:c r="C237" s="8" t="n">
        <x:f>Solactive_GBS!B93</x:f>
        <x:v>645.6628312315315</x:v>
      </x:c>
      <x:c r="D237" s="10" t="n">
        <x:f>Solactive_GBS!C93</x:f>
        <x:v>0.005937526355531464</x:v>
      </x:c>
      <x:c r="E237" s="12" t="n">
        <x:f>Sources!I237</x:f>
        <x:v>99.6</x:v>
      </x:c>
      <x:c r="F237" s="10" t="n">
        <x:f>E237/E236-1</x:f>
        <x:v>0.004032258064516014</x:v>
      </x:c>
      <x:c r="G237" s="10" t="n">
        <x:f>(1+D237)/(1+F237)-1</x:f>
        <x:v>0.0018976166111317472</x:v>
      </x:c>
    </x:row>
    <x:row r="238">
      <x:c r="A238" s="6" t="n">
        <x:v>41670</x:v>
      </x:c>
      <x:c r="B238" t="str">
        <x:f>IF(A238&lt;=DATE(2006,5,31),"MSCI ACWI GBP Net Return",IF(A238&lt;=DATE(2024,2,29),"Solactive GBS Global Markets L&amp;M GBP NTR","PACW actual grossed up by OCF"))</x:f>
        <x:v>Solactive GBS Global Markets L&amp;M GBP NTR</x:v>
      </x:c>
      <x:c r="C238" s="8" t="n">
        <x:f>Solactive_GBS!B94</x:f>
        <x:v>624.8338950747475</x:v>
      </x:c>
      <x:c r="D238" s="10" t="n">
        <x:f>Solactive_GBS!C94</x:f>
        <x:v>-0.03225977266966895</x:v>
      </x:c>
      <x:c r="E238" s="12" t="n">
        <x:f>Sources!I238</x:f>
        <x:v>99</x:v>
      </x:c>
      <x:c r="F238" s="10" t="n">
        <x:f>E238/E237-1</x:f>
        <x:v>-0.0060240963855421326</x:v>
      </x:c>
      <x:c r="G238" s="10" t="n">
        <x:f>(1+D238)/(1+F238)-1</x:f>
        <x:v>-0.026394680382818447</x:v>
      </x:c>
    </x:row>
    <x:row r="239">
      <x:c r="A239" s="6" t="n">
        <x:v>41698</x:v>
      </x:c>
      <x:c r="B239" t="str">
        <x:f>IF(A239&lt;=DATE(2006,5,31),"MSCI ACWI GBP Net Return",IF(A239&lt;=DATE(2024,2,29),"Solactive GBS Global Markets L&amp;M GBP NTR","PACW actual grossed up by OCF"))</x:f>
        <x:v>Solactive GBS Global Markets L&amp;M GBP NTR</x:v>
      </x:c>
      <x:c r="C239" s="8" t="n">
        <x:f>Solactive_GBS!B95</x:f>
        <x:v>641.9338744233355</x:v>
      </x:c>
      <x:c r="D239" s="10" t="n">
        <x:f>Solactive_GBS!C95</x:f>
        <x:v>0.027367240291185535</x:v>
      </x:c>
      <x:c r="E239" s="12" t="n">
        <x:f>Sources!I239</x:f>
        <x:v>99.5</x:v>
      </x:c>
      <x:c r="F239" s="10" t="n">
        <x:f>E239/E238-1</x:f>
        <x:v>0.005050505050504972</x:v>
      </x:c>
      <x:c r="G239" s="10" t="n">
        <x:f>(1+D239)/(1+F239)-1</x:f>
        <x:v>0.02220459084248616</x:v>
      </x:c>
    </x:row>
    <x:row r="240">
      <x:c r="A240" s="6" t="n">
        <x:v>41729</x:v>
      </x:c>
      <x:c r="B240" t="str">
        <x:f>IF(A240&lt;=DATE(2006,5,31),"MSCI ACWI GBP Net Return",IF(A240&lt;=DATE(2024,2,29),"Solactive GBS Global Markets L&amp;M GBP NTR","PACW actual grossed up by OCF"))</x:f>
        <x:v>Solactive GBS Global Markets L&amp;M GBP NTR</x:v>
      </x:c>
      <x:c r="C240" s="8" t="n">
        <x:f>Solactive_GBS!B96</x:f>
        <x:v>648.275494276394</x:v>
      </x:c>
      <x:c r="D240" s="10" t="n">
        <x:f>Solactive_GBS!C96</x:f>
        <x:v>0.009878930066987701</x:v>
      </x:c>
      <x:c r="E240" s="12" t="n">
        <x:f>Sources!I240</x:f>
        <x:v>99.7</x:v>
      </x:c>
      <x:c r="F240" s="10" t="n">
        <x:f>E240/E239-1</x:f>
        <x:v>0.0020100502512563345</x:v>
      </x:c>
      <x:c r="G240" s="10" t="n">
        <x:f>(1+D240)/(1+F240)-1</x:f>
        <x:v>0.007853094700754903</x:v>
      </x:c>
    </x:row>
    <x:row r="241">
      <x:c r="A241" s="6" t="n">
        <x:v>41759</x:v>
      </x:c>
      <x:c r="B241" t="str">
        <x:f>IF(A241&lt;=DATE(2006,5,31),"MSCI ACWI GBP Net Return",IF(A241&lt;=DATE(2024,2,29),"Solactive GBS Global Markets L&amp;M GBP NTR","PACW actual grossed up by OCF"))</x:f>
        <x:v>Solactive GBS Global Markets L&amp;M GBP NTR</x:v>
      </x:c>
      <x:c r="C241" s="8" t="n">
        <x:f>Solactive_GBS!B97</x:f>
        <x:v>646.3107260803881</x:v>
      </x:c>
      <x:c r="D241" s="10" t="n">
        <x:f>Solactive_GBS!C97</x:f>
        <x:v>-0.003030761170756624</x:v>
      </x:c>
      <x:c r="E241" s="12" t="n">
        <x:f>Sources!I241</x:f>
        <x:v>100.1</x:v>
      </x:c>
      <x:c r="F241" s="10" t="n">
        <x:f>E241/E240-1</x:f>
        <x:v>0.004012036108324901</x:v>
      </x:c>
      <x:c r="G241" s="10" t="n">
        <x:f>(1+D241)/(1+F241)-1</x:f>
        <x:v>-0.007014654233011286</x:v>
      </x:c>
    </x:row>
    <x:row r="242">
      <x:c r="A242" s="6" t="n">
        <x:v>41790</x:v>
      </x:c>
      <x:c r="B242" t="str">
        <x:f>IF(A242&lt;=DATE(2006,5,31),"MSCI ACWI GBP Net Return",IF(A242&lt;=DATE(2024,2,29),"Solactive GBS Global Markets L&amp;M GBP NTR","PACW actual grossed up by OCF"))</x:f>
        <x:v>Solactive GBS Global Markets L&amp;M GBP NTR</x:v>
      </x:c>
      <x:c r="C242" s="8" t="n">
        <x:f>Solactive_GBS!B98</x:f>
        <x:v>664.8381254785681</x:v>
      </x:c>
      <x:c r="D242" s="10" t="n">
        <x:f>Solactive_GBS!C98</x:f>
        <x:v>0.02866639628672285</x:v>
      </x:c>
      <x:c r="E242" s="12" t="n">
        <x:f>Sources!I242</x:f>
        <x:v>100</x:v>
      </x:c>
      <x:c r="F242" s="10" t="n">
        <x:f>E242/E241-1</x:f>
        <x:v>-0.0009990009990009652</x:v>
      </x:c>
      <x:c r="G242" s="10" t="n">
        <x:f>(1+D242)/(1+F242)-1</x:f>
        <x:v>0.029695062683009477</x:v>
      </x:c>
    </x:row>
    <x:row r="243">
      <x:c r="A243" s="6" t="n">
        <x:v>41820</x:v>
      </x:c>
      <x:c r="B243" t="str">
        <x:f>IF(A243&lt;=DATE(2006,5,31),"MSCI ACWI GBP Net Return",IF(A243&lt;=DATE(2024,2,29),"Solactive GBS Global Markets L&amp;M GBP NTR","PACW actual grossed up by OCF"))</x:f>
        <x:v>Solactive GBS Global Markets L&amp;M GBP NTR</x:v>
      </x:c>
      <x:c r="C243" s="8" t="n">
        <x:f>Solactive_GBS!B99</x:f>
        <x:v>664.6814226787128</x:v>
      </x:c>
      <x:c r="D243" s="10" t="n">
        <x:f>Solactive_GBS!C99</x:f>
        <x:v>-0.00023570068239175956</x:v>
      </x:c>
      <x:c r="E243" s="12" t="n">
        <x:f>Sources!I243</x:f>
        <x:v>100.2</x:v>
      </x:c>
      <x:c r="F243" s="10" t="n">
        <x:f>E243/E242-1</x:f>
        <x:v>0.0020000000000000018</x:v>
      </x:c>
      <x:c r="G243" s="10" t="n">
        <x:f>(1+D243)/(1+F243)-1</x:f>
        <x:v>-0.002231238205979813</x:v>
      </x:c>
    </x:row>
    <x:row r="244">
      <x:c r="A244" s="6" t="n">
        <x:v>41851</x:v>
      </x:c>
      <x:c r="B244" t="str">
        <x:f>IF(A244&lt;=DATE(2006,5,31),"MSCI ACWI GBP Net Return",IF(A244&lt;=DATE(2024,2,29),"Solactive GBS Global Markets L&amp;M GBP NTR","PACW actual grossed up by OCF"))</x:f>
        <x:v>Solactive GBS Global Markets L&amp;M GBP NTR</x:v>
      </x:c>
      <x:c r="C244" s="8" t="n">
        <x:f>Solactive_GBS!B100</x:f>
        <x:v>665.6193601643927</x:v>
      </x:c>
      <x:c r="D244" s="10" t="n">
        <x:f>Solactive_GBS!C100</x:f>
        <x:v>0.0014111083199825902</x:v>
      </x:c>
      <x:c r="E244" s="12" t="n">
        <x:f>Sources!I244</x:f>
        <x:v>99.9</x:v>
      </x:c>
      <x:c r="F244" s="10" t="n">
        <x:f>E244/E243-1</x:f>
        <x:v>-0.0029940119760478723</x:v>
      </x:c>
      <x:c r="G244" s="10" t="n">
        <x:f>(1+D244)/(1+F244)-1</x:f>
        <x:v>0.004418348885508072</x:v>
      </x:c>
    </x:row>
    <x:row r="245">
      <x:c r="A245" s="6" t="n">
        <x:v>41882</x:v>
      </x:c>
      <x:c r="B245" t="str">
        <x:f>IF(A245&lt;=DATE(2006,5,31),"MSCI ACWI GBP Net Return",IF(A245&lt;=DATE(2024,2,29),"Solactive GBS Global Markets L&amp;M GBP NTR","PACW actual grossed up by OCF"))</x:f>
        <x:v>Solactive GBS Global Markets L&amp;M GBP NTR</x:v>
      </x:c>
      <x:c r="C245" s="8" t="n">
        <x:f>Solactive_GBS!B101</x:f>
        <x:v>691.6662146421813</x:v>
      </x:c>
      <x:c r="D245" s="10" t="n">
        <x:f>Solactive_GBS!C101</x:f>
        <x:v>0.03913175613064457</x:v>
      </x:c>
      <x:c r="E245" s="12" t="n">
        <x:f>Sources!I245</x:f>
        <x:v>100.2</x:v>
      </x:c>
      <x:c r="F245" s="10" t="n">
        <x:f>E245/E244-1</x:f>
        <x:v>0.0030030030030030463</x:v>
      </x:c>
      <x:c r="G245" s="10" t="n">
        <x:f>(1+D245)/(1+F245)-1</x:f>
        <x:v>0.036020583208097756</x:v>
      </x:c>
    </x:row>
    <x:row r="246">
      <x:c r="A246" s="6" t="n">
        <x:v>41912</x:v>
      </x:c>
      <x:c r="B246" t="str">
        <x:f>IF(A246&lt;=DATE(2006,5,31),"MSCI ACWI GBP Net Return",IF(A246&lt;=DATE(2024,2,29),"Solactive GBS Global Markets L&amp;M GBP NTR","PACW actual grossed up by OCF"))</x:f>
        <x:v>Solactive GBS Global Markets L&amp;M GBP NTR</x:v>
      </x:c>
      <x:c r="C246" s="8" t="n">
        <x:f>Solactive_GBS!B102</x:f>
        <x:v>686.3514254994479</x:v>
      </x:c>
      <x:c r="D246" s="10" t="n">
        <x:f>Solactive_GBS!C102</x:f>
        <x:v>-0.007684037517262432</x:v>
      </x:c>
      <x:c r="E246" s="12" t="n">
        <x:f>Sources!I246</x:f>
        <x:v>100.3</x:v>
      </x:c>
      <x:c r="F246" s="10" t="n">
        <x:f>E246/E245-1</x:f>
        <x:v>0.0009980039920158834</x:v>
      </x:c>
      <x:c r="G246" s="10" t="n">
        <x:f>(1+D246)/(1+F246)-1</x:f>
        <x:v>-0.008673385435988945</x:v>
      </x:c>
    </x:row>
    <x:row r="247">
      <x:c r="A247" s="6" t="n">
        <x:v>41943</x:v>
      </x:c>
      <x:c r="B247" t="str">
        <x:f>IF(A247&lt;=DATE(2006,5,31),"MSCI ACWI GBP Net Return",IF(A247&lt;=DATE(2024,2,29),"Solactive GBS Global Markets L&amp;M GBP NTR","PACW actual grossed up by OCF"))</x:f>
        <x:v>Solactive GBS Global Markets L&amp;M GBP NTR</x:v>
      </x:c>
      <x:c r="C247" s="8" t="n">
        <x:f>Solactive_GBS!B103</x:f>
        <x:v>700.5481293379871</x:v>
      </x:c>
      <x:c r="D247" s="10" t="n">
        <x:f>Solactive_GBS!C103</x:f>
        <x:v>0.02068430735495075</x:v>
      </x:c>
      <x:c r="E247" s="12" t="n">
        <x:f>Sources!I247</x:f>
        <x:v>100.4</x:v>
      </x:c>
      <x:c r="F247" s="10" t="n">
        <x:f>E247/E246-1</x:f>
        <x:v>0.0009970089730808596</x:v>
      </x:c>
      <x:c r="G247" s="10" t="n">
        <x:f>(1+D247)/(1+F247)-1</x:f>
        <x:v>0.019667689518939824</x:v>
      </x:c>
    </x:row>
    <x:row r="248">
      <x:c r="A248" s="6" t="n">
        <x:v>41973</x:v>
      </x:c>
      <x:c r="B248" t="str">
        <x:f>IF(A248&lt;=DATE(2006,5,31),"MSCI ACWI GBP Net Return",IF(A248&lt;=DATE(2024,2,29),"Solactive GBS Global Markets L&amp;M GBP NTR","PACW actual grossed up by OCF"))</x:f>
        <x:v>Solactive GBS Global Markets L&amp;M GBP NTR</x:v>
      </x:c>
      <x:c r="C248" s="8" t="n">
        <x:f>Solactive_GBS!B104</x:f>
        <x:v>727.873678662595</x:v>
      </x:c>
      <x:c r="D248" s="10" t="n">
        <x:f>Solactive_GBS!C104</x:f>
        <x:v>0.039005955737017484</x:v>
      </x:c>
      <x:c r="E248" s="12" t="n">
        <x:f>Sources!I248</x:f>
        <x:v>100.1</x:v>
      </x:c>
      <x:c r="F248" s="10" t="n">
        <x:f>E248/E247-1</x:f>
        <x:v>-0.0029880478087650486</x:v>
      </x:c>
      <x:c r="G248" s="10" t="n">
        <x:f>(1+D248)/(1+F248)-1</x:f>
        <x:v>0.04211985970026544</x:v>
      </x:c>
    </x:row>
    <x:row r="249">
      <x:c r="A249" s="6" t="n">
        <x:v>42004</x:v>
      </x:c>
      <x:c r="B249" t="str">
        <x:f>IF(A249&lt;=DATE(2006,5,31),"MSCI ACWI GBP Net Return",IF(A249&lt;=DATE(2024,2,29),"Solactive GBS Global Markets L&amp;M GBP NTR","PACW actual grossed up by OCF"))</x:f>
        <x:v>Solactive GBS Global Markets L&amp;M GBP NTR</x:v>
      </x:c>
      <x:c r="C249" s="8" t="n">
        <x:f>Solactive_GBS!B105</x:f>
        <x:v>716.7677238655688</x:v>
      </x:c>
      <x:c r="D249" s="10" t="n">
        <x:f>Solactive_GBS!C105</x:f>
        <x:v>-0.015258079969909688</x:v>
      </x:c>
      <x:c r="E249" s="12" t="n">
        <x:f>Sources!I249</x:f>
        <x:v>100.1</x:v>
      </x:c>
      <x:c r="F249" s="10" t="n">
        <x:f>E249/E248-1</x:f>
        <x:v>0</x:v>
      </x:c>
      <x:c r="G249" s="10" t="n">
        <x:f>(1+D249)/(1+F249)-1</x:f>
        <x:v>-0.015258079969909688</x:v>
      </x:c>
    </x:row>
    <x:row r="250">
      <x:c r="A250" s="6" t="n">
        <x:v>42035</x:v>
      </x:c>
      <x:c r="B250" t="str">
        <x:f>IF(A250&lt;=DATE(2006,5,31),"MSCI ACWI GBP Net Return",IF(A250&lt;=DATE(2024,2,29),"Solactive GBS Global Markets L&amp;M GBP NTR","PACW actual grossed up by OCF"))</x:f>
        <x:v>Solactive GBS Global Markets L&amp;M GBP NTR</x:v>
      </x:c>
      <x:c r="C250" s="8" t="n">
        <x:f>Solactive_GBS!B106</x:f>
        <x:v>732.2966864170603</x:v>
      </x:c>
      <x:c r="D250" s="10" t="n">
        <x:f>Solactive_GBS!C106</x:f>
        <x:v>0.02166526481932385</x:v>
      </x:c>
      <x:c r="E250" s="12" t="n">
        <x:f>Sources!I250</x:f>
        <x:v>99.3</x:v>
      </x:c>
      <x:c r="F250" s="10" t="n">
        <x:f>E250/E249-1</x:f>
        <x:v>-0.007992007992007943</x:v>
      </x:c>
      <x:c r="G250" s="10" t="n">
        <x:f>(1+D250)/(1+F250)-1</x:f>
        <x:v>0.029896203508704033</x:v>
      </x:c>
    </x:row>
    <x:row r="251">
      <x:c r="A251" s="6" t="n">
        <x:v>42063</x:v>
      </x:c>
      <x:c r="B251" t="str">
        <x:f>IF(A251&lt;=DATE(2006,5,31),"MSCI ACWI GBP Net Return",IF(A251&lt;=DATE(2024,2,29),"Solactive GBS Global Markets L&amp;M GBP NTR","PACW actual grossed up by OCF"))</x:f>
        <x:v>Solactive GBS Global Markets L&amp;M GBP NTR</x:v>
      </x:c>
      <x:c r="C251" s="8" t="n">
        <x:f>Solactive_GBS!B107</x:f>
        <x:v>750.4958646780879</x:v>
      </x:c>
      <x:c r="D251" s="10" t="n">
        <x:f>Solactive_GBS!C107</x:f>
        <x:v>0.024852192558826758</x:v>
      </x:c>
      <x:c r="E251" s="12" t="n">
        <x:f>Sources!I251</x:f>
        <x:v>99.5</x:v>
      </x:c>
      <x:c r="F251" s="10" t="n">
        <x:f>E251/E250-1</x:f>
        <x:v>0.002014098690835908</x:v>
      </x:c>
      <x:c r="G251" s="10" t="n">
        <x:f>(1+D251)/(1+F251)-1</x:f>
        <x:v>0.022792188151673276</x:v>
      </x:c>
    </x:row>
    <x:row r="252">
      <x:c r="A252" s="6" t="n">
        <x:v>42094</x:v>
      </x:c>
      <x:c r="B252" t="str">
        <x:f>IF(A252&lt;=DATE(2006,5,31),"MSCI ACWI GBP Net Return",IF(A252&lt;=DATE(2024,2,29),"Solactive GBS Global Markets L&amp;M GBP NTR","PACW actual grossed up by OCF"))</x:f>
        <x:v>Solactive GBS Global Markets L&amp;M GBP NTR</x:v>
      </x:c>
      <x:c r="C252" s="8" t="n">
        <x:f>Solactive_GBS!B108</x:f>
        <x:v>769.3970714824691</x:v>
      </x:c>
      <x:c r="D252" s="10" t="n">
        <x:f>Solactive_GBS!C108</x:f>
        <x:v>0.025184957964410115</x:v>
      </x:c>
      <x:c r="E252" s="12" t="n">
        <x:f>Sources!I252</x:f>
        <x:v>99.7</x:v>
      </x:c>
      <x:c r="F252" s="10" t="n">
        <x:f>E252/E251-1</x:f>
        <x:v>0.0020100502512563345</x:v>
      </x:c>
      <x:c r="G252" s="10" t="n">
        <x:f>(1+D252)/(1+F252)-1</x:f>
        <x:v>0.023128418429877673</x:v>
      </x:c>
    </x:row>
    <x:row r="253">
      <x:c r="A253" s="6" t="n">
        <x:v>42124</x:v>
      </x:c>
      <x:c r="B253" t="str">
        <x:f>IF(A253&lt;=DATE(2006,5,31),"MSCI ACWI GBP Net Return",IF(A253&lt;=DATE(2024,2,29),"Solactive GBS Global Markets L&amp;M GBP NTR","PACW actual grossed up by OCF"))</x:f>
        <x:v>Solactive GBS Global Markets L&amp;M GBP NTR</x:v>
      </x:c>
      <x:c r="C253" s="8" t="n">
        <x:f>Solactive_GBS!B109</x:f>
        <x:v>764.506804470253</x:v>
      </x:c>
      <x:c r="D253" s="10" t="n">
        <x:f>Solactive_GBS!C109</x:f>
        <x:v>-0.006355972999472881</x:v>
      </x:c>
      <x:c r="E253" s="12" t="n">
        <x:f>Sources!I253</x:f>
        <x:v>99.9</x:v>
      </x:c>
      <x:c r="F253" s="10" t="n">
        <x:f>E253/E252-1</x:f>
        <x:v>0.0020060180541625616</x:v>
      </x:c>
      <x:c r="G253" s="10" t="n">
        <x:f>(1+D253)/(1+F253)-1</x:f>
        <x:v>-0.008345250330805354</x:v>
      </x:c>
    </x:row>
    <x:row r="254">
      <x:c r="A254" s="6" t="n">
        <x:v>42155</x:v>
      </x:c>
      <x:c r="B254" t="str">
        <x:f>IF(A254&lt;=DATE(2006,5,31),"MSCI ACWI GBP Net Return",IF(A254&lt;=DATE(2024,2,29),"Solactive GBS Global Markets L&amp;M GBP NTR","PACW actual grossed up by OCF"))</x:f>
        <x:v>Solactive GBS Global Markets L&amp;M GBP NTR</x:v>
      </x:c>
      <x:c r="C254" s="8" t="n">
        <x:f>Solactive_GBS!B110</x:f>
        <x:v>769.076827942401</x:v>
      </x:c>
      <x:c r="D254" s="10" t="n">
        <x:f>Solactive_GBS!C110</x:f>
        <x:v>0.00597774074138524</x:v>
      </x:c>
      <x:c r="E254" s="12" t="n">
        <x:f>Sources!I254</x:f>
        <x:v>100.1</x:v>
      </x:c>
      <x:c r="F254" s="10" t="n">
        <x:f>E254/E253-1</x:f>
        <x:v>0.002002002002001957</x:v>
      </x:c>
      <x:c r="G254" s="10" t="n">
        <x:f>(1+D254)/(1+F254)-1</x:f>
        <x:v>0.00396779520543844</x:v>
      </x:c>
    </x:row>
    <x:row r="255">
      <x:c r="A255" s="6" t="n">
        <x:v>42185</x:v>
      </x:c>
      <x:c r="B255" t="str">
        <x:f>IF(A255&lt;=DATE(2006,5,31),"MSCI ACWI GBP Net Return",IF(A255&lt;=DATE(2024,2,29),"Solactive GBS Global Markets L&amp;M GBP NTR","PACW actual grossed up by OCF"))</x:f>
        <x:v>Solactive GBS Global Markets L&amp;M GBP NTR</x:v>
      </x:c>
      <x:c r="C255" s="8" t="n">
        <x:f>Solactive_GBS!B111</x:f>
        <x:v>728.9010792012841</x:v>
      </x:c>
      <x:c r="D255" s="10" t="n">
        <x:f>Solactive_GBS!C111</x:f>
        <x:v>-0.0522389276096169</x:v>
      </x:c>
      <x:c r="E255" s="12" t="n">
        <x:f>Sources!I255</x:f>
        <x:v>100.2</x:v>
      </x:c>
      <x:c r="F255" s="10" t="n">
        <x:f>E255/E254-1</x:f>
        <x:v>0.0009990009990010762</x:v>
      </x:c>
      <x:c r="G255" s="10" t="n">
        <x:f>(1+D255)/(1+F255)-1</x:f>
        <x:v>-0.053184796943339885</x:v>
      </x:c>
    </x:row>
    <x:row r="256">
      <x:c r="A256" s="6" t="n">
        <x:v>42216</x:v>
      </x:c>
      <x:c r="B256" t="str">
        <x:f>IF(A256&lt;=DATE(2006,5,31),"MSCI ACWI GBP Net Return",IF(A256&lt;=DATE(2024,2,29),"Solactive GBS Global Markets L&amp;M GBP NTR","PACW actual grossed up by OCF"))</x:f>
        <x:v>Solactive GBS Global Markets L&amp;M GBP NTR</x:v>
      </x:c>
      <x:c r="C256" s="8" t="n">
        <x:f>Solactive_GBS!B112</x:f>
        <x:v>741.0800208060482</x:v>
      </x:c>
      <x:c r="D256" s="10" t="n">
        <x:f>Solactive_GBS!C112</x:f>
        <x:v>0.016708634343235662</x:v>
      </x:c>
      <x:c r="E256" s="12" t="n">
        <x:f>Sources!I256</x:f>
        <x:v>100</x:v>
      </x:c>
      <x:c r="F256" s="10" t="n">
        <x:f>E256/E255-1</x:f>
        <x:v>-0.001996007984031989</x:v>
      </x:c>
      <x:c r="G256" s="10" t="n">
        <x:f>(1+D256)/(1+F256)-1</x:f>
        <x:v>0.018742051611922106</x:v>
      </x:c>
    </x:row>
    <x:row r="257">
      <x:c r="A257" s="6" t="n">
        <x:v>42247</x:v>
      </x:c>
      <x:c r="B257" t="str">
        <x:f>IF(A257&lt;=DATE(2006,5,31),"MSCI ACWI GBP Net Return",IF(A257&lt;=DATE(2024,2,29),"Solactive GBS Global Markets L&amp;M GBP NTR","PACW actual grossed up by OCF"))</x:f>
        <x:v>Solactive GBS Global Markets L&amp;M GBP NTR</x:v>
      </x:c>
      <x:c r="C257" s="8" t="n">
        <x:f>Solactive_GBS!B113</x:f>
        <x:v>700.6073914877506</x:v>
      </x:c>
      <x:c r="D257" s="10" t="n">
        <x:f>Solactive_GBS!C113</x:f>
        <x:v>-0.05461303527556549</x:v>
      </x:c>
      <x:c r="E257" s="12" t="n">
        <x:f>Sources!I257</x:f>
        <x:v>100.3</x:v>
      </x:c>
      <x:c r="F257" s="10" t="n">
        <x:f>E257/E256-1</x:f>
        <x:v>0.0029999999999998916</x:v>
      </x:c>
      <x:c r="G257" s="10" t="n">
        <x:f>(1+D257)/(1+F257)-1</x:f>
        <x:v>-0.05744071313615695</x:v>
      </x:c>
    </x:row>
    <x:row r="258">
      <x:c r="A258" s="6" t="n">
        <x:v>42277</x:v>
      </x:c>
      <x:c r="B258" t="str">
        <x:f>IF(A258&lt;=DATE(2006,5,31),"MSCI ACWI GBP Net Return",IF(A258&lt;=DATE(2024,2,29),"Solactive GBS Global Markets L&amp;M GBP NTR","PACW actual grossed up by OCF"))</x:f>
        <x:v>Solactive GBS Global Markets L&amp;M GBP NTR</x:v>
      </x:c>
      <x:c r="C258" s="8" t="n">
        <x:f>Solactive_GBS!B114</x:f>
        <x:v>685.7183461880322</x:v>
      </x:c>
      <x:c r="D258" s="10" t="n">
        <x:f>Solactive_GBS!C114</x:f>
        <x:v>-0.021251624634021193</x:v>
      </x:c>
      <x:c r="E258" s="12" t="n">
        <x:f>Sources!I258</x:f>
        <x:v>100.2</x:v>
      </x:c>
      <x:c r="F258" s="10" t="n">
        <x:f>E258/E257-1</x:f>
        <x:v>-0.0009970089730807485</x:v>
      </x:c>
      <x:c r="G258" s="10" t="n">
        <x:f>(1+D258)/(1+F258)-1</x:f>
        <x:v>-0.020274829848226816</x:v>
      </x:c>
    </x:row>
    <x:row r="259">
      <x:c r="A259" s="6" t="n">
        <x:v>42308</x:v>
      </x:c>
      <x:c r="B259" t="str">
        <x:f>IF(A259&lt;=DATE(2006,5,31),"MSCI ACWI GBP Net Return",IF(A259&lt;=DATE(2024,2,29),"Solactive GBS Global Markets L&amp;M GBP NTR","PACW actual grossed up by OCF"))</x:f>
        <x:v>Solactive GBS Global Markets L&amp;M GBP NTR</x:v>
      </x:c>
      <x:c r="C259" s="8" t="n">
        <x:f>Solactive_GBS!B115</x:f>
        <x:v>726.1624840881741</x:v>
      </x:c>
      <x:c r="D259" s="10" t="n">
        <x:f>Solactive_GBS!C115</x:f>
        <x:v>0.05898068518215149</x:v>
      </x:c>
      <x:c r="E259" s="12" t="n">
        <x:f>Sources!I259</x:f>
        <x:v>100.3</x:v>
      </x:c>
      <x:c r="F259" s="10" t="n">
        <x:f>E259/E258-1</x:f>
        <x:v>0.0009980039920158834</x:v>
      </x:c>
      <x:c r="G259" s="10" t="n">
        <x:f>(1+D259)/(1+F259)-1</x:f>
        <x:v>0.05792487193670581</x:v>
      </x:c>
    </x:row>
    <x:row r="260">
      <x:c r="A260" s="6" t="n">
        <x:v>42338</x:v>
      </x:c>
      <x:c r="B260" t="str">
        <x:f>IF(A260&lt;=DATE(2006,5,31),"MSCI ACWI GBP Net Return",IF(A260&lt;=DATE(2024,2,29),"Solactive GBS Global Markets L&amp;M GBP NTR","PACW actual grossed up by OCF"))</x:f>
        <x:v>Solactive GBS Global Markets L&amp;M GBP NTR</x:v>
      </x:c>
      <x:c r="C260" s="8" t="n">
        <x:f>Solactive_GBS!B116</x:f>
        <x:v>738.8696565855416</x:v>
      </x:c>
      <x:c r="D260" s="10" t="n">
        <x:f>Solactive_GBS!C116</x:f>
        <x:v>0.017499075999944713</x:v>
      </x:c>
      <x:c r="E260" s="12" t="n">
        <x:f>Sources!I260</x:f>
        <x:v>100.3</x:v>
      </x:c>
      <x:c r="F260" s="10" t="n">
        <x:f>E260/E259-1</x:f>
        <x:v>0</x:v>
      </x:c>
      <x:c r="G260" s="10" t="n">
        <x:f>(1+D260)/(1+F260)-1</x:f>
        <x:v>0.017499075999944713</x:v>
      </x:c>
    </x:row>
    <x:row r="261">
      <x:c r="A261" s="6" t="n">
        <x:v>42369</x:v>
      </x:c>
      <x:c r="B261" t="str">
        <x:f>IF(A261&lt;=DATE(2006,5,31),"MSCI ACWI GBP Net Return",IF(A261&lt;=DATE(2024,2,29),"Solactive GBS Global Markets L&amp;M GBP NTR","PACW actual grossed up by OCF"))</x:f>
        <x:v>Solactive GBS Global Markets L&amp;M GBP NTR</x:v>
      </x:c>
      <x:c r="C261" s="8" t="n">
        <x:f>Solactive_GBS!B117</x:f>
        <x:v>741.4595264958798</x:v>
      </x:c>
      <x:c r="D261" s="10" t="n">
        <x:f>Solactive_GBS!C117</x:f>
        <x:v>0.0035051783318675866</x:v>
      </x:c>
      <x:c r="E261" s="12" t="n">
        <x:f>Sources!I261</x:f>
        <x:v>100.3</x:v>
      </x:c>
      <x:c r="F261" s="10" t="n">
        <x:f>E261/E260-1</x:f>
        <x:v>0</x:v>
      </x:c>
      <x:c r="G261" s="10" t="n">
        <x:f>(1+D261)/(1+F261)-1</x:f>
        <x:v>0.0035051783318675866</x:v>
      </x:c>
    </x:row>
    <x:row r="262">
      <x:c r="A262" s="6" t="n">
        <x:v>42400</x:v>
      </x:c>
      <x:c r="B262" t="str">
        <x:f>IF(A262&lt;=DATE(2006,5,31),"MSCI ACWI GBP Net Return",IF(A262&lt;=DATE(2024,2,29),"Solactive GBS Global Markets L&amp;M GBP NTR","PACW actual grossed up by OCF"))</x:f>
        <x:v>Solactive GBS Global Markets L&amp;M GBP NTR</x:v>
      </x:c>
      <x:c r="C262" s="8" t="n">
        <x:f>Solactive_GBS!B118</x:f>
        <x:v>724.1977158921682</x:v>
      </x:c>
      <x:c r="D262" s="10" t="n">
        <x:f>Solactive_GBS!C118</x:f>
        <x:v>-0.023280853488106823</x:v>
      </x:c>
      <x:c r="E262" s="12" t="n">
        <x:f>Sources!I262</x:f>
        <x:v>99.5</x:v>
      </x:c>
      <x:c r="F262" s="10" t="n">
        <x:f>E262/E261-1</x:f>
        <x:v>-0.007976071784645988</x:v>
      </x:c>
      <x:c r="G262" s="10" t="n">
        <x:f>(1+D262)/(1+F262)-1</x:f>
        <x:v>-0.015427835224694708</x:v>
      </x:c>
    </x:row>
    <x:row r="263">
      <x:c r="A263" s="6" t="n">
        <x:v>42429</x:v>
      </x:c>
      <x:c r="B263" t="str">
        <x:f>IF(A263&lt;=DATE(2006,5,31),"MSCI ACWI GBP Net Return",IF(A263&lt;=DATE(2024,2,29),"Solactive GBS Global Markets L&amp;M GBP NTR","PACW actual grossed up by OCF"))</x:f>
        <x:v>Solactive GBS Global Markets L&amp;M GBP NTR</x:v>
      </x:c>
      <x:c r="C263" s="8" t="n">
        <x:f>Solactive_GBS!B119</x:f>
        <x:v>732.5046737695957</x:v>
      </x:c>
      <x:c r="D263" s="10" t="n">
        <x:f>Solactive_GBS!C119</x:f>
        <x:v>0.011470566248878322</x:v>
      </x:c>
      <x:c r="E263" s="12" t="n">
        <x:f>Sources!I263</x:f>
        <x:v>99.8</x:v>
      </x:c>
      <x:c r="F263" s="10" t="n">
        <x:f>E263/E262-1</x:f>
        <x:v>0.0030150753768845018</x:v>
      </x:c>
      <x:c r="G263" s="10" t="n">
        <x:f>(1+D263)/(1+F263)-1</x:f>
        <x:v>0.00843007356476333</x:v>
      </x:c>
    </x:row>
    <x:row r="264">
      <x:c r="A264" s="6" t="n">
        <x:v>42460</x:v>
      </x:c>
      <x:c r="B264" t="str">
        <x:f>IF(A264&lt;=DATE(2006,5,31),"MSCI ACWI GBP Net Return",IF(A264&lt;=DATE(2024,2,29),"Solactive GBS Global Markets L&amp;M GBP NTR","PACW actual grossed up by OCF"))</x:f>
        <x:v>Solactive GBS Global Markets L&amp;M GBP NTR</x:v>
      </x:c>
      <x:c r="C264" s="8" t="n">
        <x:f>Solactive_GBS!B120</x:f>
        <x:v>762.3323394366225</x:v>
      </x:c>
      <x:c r="D264" s="10" t="n">
        <x:f>Solactive_GBS!C120</x:f>
        <x:v>0.04072010286777905</x:v>
      </x:c>
      <x:c r="E264" s="12" t="n">
        <x:f>Sources!I264</x:f>
        <x:v>100.2</x:v>
      </x:c>
      <x:c r="F264" s="10" t="n">
        <x:f>E264/E263-1</x:f>
        <x:v>0.004008016032064132</x:v>
      </x:c>
      <x:c r="G264" s="10" t="n">
        <x:f>(1+D264)/(1+F264)-1</x:f>
        <x:v>0.03656553159884579</x:v>
      </x:c>
    </x:row>
    <x:row r="265">
      <x:c r="A265" s="6" t="n">
        <x:v>42490</x:v>
      </x:c>
      <x:c r="B265" t="str">
        <x:f>IF(A265&lt;=DATE(2006,5,31),"MSCI ACWI GBP Net Return",IF(A265&lt;=DATE(2024,2,29),"Solactive GBS Global Markets L&amp;M GBP NTR","PACW actual grossed up by OCF"))</x:f>
        <x:v>Solactive GBS Global Markets L&amp;M GBP NTR</x:v>
      </x:c>
      <x:c r="C265" s="8" t="n">
        <x:f>Solactive_GBS!B121</x:f>
        <x:v>758.6717620319996</x:v>
      </x:c>
      <x:c r="D265" s="10" t="n">
        <x:f>Solactive_GBS!C121</x:f>
        <x:v>-0.004801813087620288</x:v>
      </x:c>
      <x:c r="E265" s="12" t="n">
        <x:f>Sources!I265</x:f>
        <x:v>100.2</x:v>
      </x:c>
      <x:c r="F265" s="10" t="n">
        <x:f>E265/E264-1</x:f>
        <x:v>0</x:v>
      </x:c>
      <x:c r="G265" s="10" t="n">
        <x:f>(1+D265)/(1+F265)-1</x:f>
        <x:v>-0.004801813087620288</x:v>
      </x:c>
    </x:row>
    <x:row r="266">
      <x:c r="A266" s="6" t="n">
        <x:v>42521</x:v>
      </x:c>
      <x:c r="B266" t="str">
        <x:f>IF(A266&lt;=DATE(2006,5,31),"MSCI ACWI GBP Net Return",IF(A266&lt;=DATE(2024,2,29),"Solactive GBS Global Markets L&amp;M GBP NTR","PACW actual grossed up by OCF"))</x:f>
        <x:v>Solactive GBS Global Markets L&amp;M GBP NTR</x:v>
      </x:c>
      <x:c r="C266" s="8" t="n">
        <x:f>Solactive_GBS!B122</x:f>
        <x:v>764.8652265106493</x:v>
      </x:c>
      <x:c r="D266" s="10" t="n">
        <x:f>Solactive_GBS!C122</x:f>
        <x:v>0.008163562674405211</x:v>
      </x:c>
      <x:c r="E266" s="12" t="n">
        <x:f>Sources!I266</x:f>
        <x:v>100.4</x:v>
      </x:c>
      <x:c r="F266" s="10" t="n">
        <x:f>E266/E265-1</x:f>
        <x:v>0.001996007984031989</x:v>
      </x:c>
      <x:c r="G266" s="10" t="n">
        <x:f>(1+D266)/(1+F266)-1</x:f>
        <x:v>0.006155268724854501</x:v>
      </x:c>
    </x:row>
    <x:row r="267">
      <x:c r="A267" s="6" t="n">
        <x:v>42551</x:v>
      </x:c>
      <x:c r="B267" t="str">
        <x:f>IF(A267&lt;=DATE(2006,5,31),"MSCI ACWI GBP Net Return",IF(A267&lt;=DATE(2024,2,29),"Solactive GBS Global Markets L&amp;M GBP NTR","PACW actual grossed up by OCF"))</x:f>
        <x:v>Solactive GBS Global Markets L&amp;M GBP NTR</x:v>
      </x:c>
      <x:c r="C267" s="8" t="n">
        <x:f>Solactive_GBS!B123</x:f>
        <x:v>827.982834978965</x:v>
      </x:c>
      <x:c r="D267" s="10" t="n">
        <x:f>Solactive_GBS!C123</x:f>
        <x:v>0.08252121586996597</x:v>
      </x:c>
      <x:c r="E267" s="12" t="n">
        <x:f>Sources!I267</x:f>
        <x:v>100.6</x:v>
      </x:c>
      <x:c r="F267" s="10" t="n">
        <x:f>E267/E266-1</x:f>
        <x:v>0.0019920318725097363</x:v>
      </x:c>
      <x:c r="G267" s="10" t="n">
        <x:f>(1+D267)/(1+F267)-1</x:f>
        <x:v>0.08036908621614924</x:v>
      </x:c>
    </x:row>
    <x:row r="268">
      <x:c r="A268" s="6" t="n">
        <x:v>42582</x:v>
      </x:c>
      <x:c r="B268" t="str">
        <x:f>IF(A268&lt;=DATE(2006,5,31),"MSCI ACWI GBP Net Return",IF(A268&lt;=DATE(2024,2,29),"Solactive GBS Global Markets L&amp;M GBP NTR","PACW actual grossed up by OCF"))</x:f>
        <x:v>Solactive GBS Global Markets L&amp;M GBP NTR</x:v>
      </x:c>
      <x:c r="C268" s="8" t="n">
        <x:f>Solactive_GBS!B124</x:f>
        <x:v>869.0144659214739</x:v>
      </x:c>
      <x:c r="D268" s="10" t="n">
        <x:f>Solactive_GBS!C124</x:f>
        <x:v>0.049556137167446446</x:v>
      </x:c>
      <x:c r="E268" s="12" t="n">
        <x:f>Sources!I268</x:f>
        <x:v>100.6</x:v>
      </x:c>
      <x:c r="F268" s="10" t="n">
        <x:f>E268/E267-1</x:f>
        <x:v>0</x:v>
      </x:c>
      <x:c r="G268" s="10" t="n">
        <x:f>(1+D268)/(1+F268)-1</x:f>
        <x:v>0.049556137167446446</x:v>
      </x:c>
    </x:row>
    <x:row r="269">
      <x:c r="A269" s="6" t="n">
        <x:v>42613</x:v>
      </x:c>
      <x:c r="B269" t="str">
        <x:f>IF(A269&lt;=DATE(2006,5,31),"MSCI ACWI GBP Net Return",IF(A269&lt;=DATE(2024,2,29),"Solactive GBS Global Markets L&amp;M GBP NTR","PACW actual grossed up by OCF"))</x:f>
        <x:v>Solactive GBS Global Markets L&amp;M GBP NTR</x:v>
      </x:c>
      <x:c r="C269" s="8" t="n">
        <x:f>Solactive_GBS!B125</x:f>
        <x:v>883.6499375996082</x:v>
      </x:c>
      <x:c r="D269" s="10" t="n">
        <x:f>Solactive_GBS!C125</x:f>
        <x:v>0.01684145920702873</x:v>
      </x:c>
      <x:c r="E269" s="12" t="n">
        <x:f>Sources!I269</x:f>
        <x:v>100.9</x:v>
      </x:c>
      <x:c r="F269" s="10" t="n">
        <x:f>E269/E268-1</x:f>
        <x:v>0.0029821073558649047</x:v>
      </x:c>
      <x:c r="G269" s="10" t="n">
        <x:f>(1+D269)/(1+F269)-1</x:f>
        <x:v>0.013818144660327825</x:v>
      </x:c>
    </x:row>
    <x:row r="270">
      <x:c r="A270" s="6" t="n">
        <x:v>42643</x:v>
      </x:c>
      <x:c r="B270" t="str">
        <x:f>IF(A270&lt;=DATE(2006,5,31),"MSCI ACWI GBP Net Return",IF(A270&lt;=DATE(2024,2,29),"Solactive GBS Global Markets L&amp;M GBP NTR","PACW actual grossed up by OCF"))</x:f>
        <x:v>Solactive GBS Global Markets L&amp;M GBP NTR</x:v>
      </x:c>
      <x:c r="C270" s="8" t="n">
        <x:f>Solactive_GBS!B126</x:f>
        <x:v>896.29556863376</x:v>
      </x:c>
      <x:c r="D270" s="10" t="n">
        <x:f>Solactive_GBS!C126</x:f>
        <x:v>0.014310679485252997</x:v>
      </x:c>
      <x:c r="E270" s="12" t="n">
        <x:f>Sources!I270</x:f>
        <x:v>101.1</x:v>
      </x:c>
      <x:c r="F270" s="10" t="n">
        <x:f>E270/E269-1</x:f>
        <x:v>0.001982160555004775</x:v>
      </x:c>
      <x:c r="G270" s="10" t="n">
        <x:f>(1+D270)/(1+F270)-1</x:f>
        <x:v>0.012304130168764082</x:v>
      </x:c>
    </x:row>
    <x:row r="271">
      <x:c r="A271" s="6" t="n">
        <x:v>42674</x:v>
      </x:c>
      <x:c r="B271" t="str">
        <x:f>IF(A271&lt;=DATE(2006,5,31),"MSCI ACWI GBP Net Return",IF(A271&lt;=DATE(2024,2,29),"Solactive GBS Global Markets L&amp;M GBP NTR","PACW actual grossed up by OCF"))</x:f>
        <x:v>Solactive GBS Global Markets L&amp;M GBP NTR</x:v>
      </x:c>
      <x:c r="C271" s="8" t="n">
        <x:f>Solactive_GBS!B127</x:f>
        <x:v>938.18479126275</x:v>
      </x:c>
      <x:c r="D271" s="10" t="n">
        <x:f>Solactive_GBS!C127</x:f>
        <x:v>0.04673594748754861</x:v>
      </x:c>
      <x:c r="E271" s="12" t="n">
        <x:f>Sources!I271</x:f>
        <x:v>101.2</x:v>
      </x:c>
      <x:c r="F271" s="10" t="n">
        <x:f>E271/E270-1</x:f>
        <x:v>0.0009891196834816984</x:v>
      </x:c>
      <x:c r="G271" s="10" t="n">
        <x:f>(1+D271)/(1+F271)-1</x:f>
        <x:v>0.04570162342876638</x:v>
      </x:c>
    </x:row>
    <x:row r="272">
      <x:c r="A272" s="6" t="n">
        <x:v>42704</x:v>
      </x:c>
      <x:c r="B272" t="str">
        <x:f>IF(A272&lt;=DATE(2006,5,31),"MSCI ACWI GBP Net Return",IF(A272&lt;=DATE(2024,2,29),"Solactive GBS Global Markets L&amp;M GBP NTR","PACW actual grossed up by OCF"))</x:f>
        <x:v>Solactive GBS Global Markets L&amp;M GBP NTR</x:v>
      </x:c>
      <x:c r="C272" s="8" t="n">
        <x:f>Solactive_GBS!B128</x:f>
        <x:v>923.8387923930768</x:v>
      </x:c>
      <x:c r="D272" s="10" t="n">
        <x:f>Solactive_GBS!C128</x:f>
        <x:v>-0.015291229407336848</x:v>
      </x:c>
      <x:c r="E272" s="12" t="n">
        <x:f>Sources!I272</x:f>
        <x:v>101.4</x:v>
      </x:c>
      <x:c r="F272" s="10" t="n">
        <x:f>E272/E271-1</x:f>
        <x:v>0.0019762845849802257</x:v>
      </x:c>
      <x:c r="G272" s="10" t="n">
        <x:f>(1+D272)/(1+F272)-1</x:f>
        <x:v>-0.017233455779314455</x:v>
      </x:c>
    </x:row>
    <x:row r="273">
      <x:c r="A273" s="6" t="n">
        <x:v>42735</x:v>
      </x:c>
      <x:c r="B273" t="str">
        <x:f>IF(A273&lt;=DATE(2006,5,31),"MSCI ACWI GBP Net Return",IF(A273&lt;=DATE(2024,2,29),"Solactive GBS Global Markets L&amp;M GBP NTR","PACW actual grossed up by OCF"))</x:f>
        <x:v>Solactive GBS Global Markets L&amp;M GBP NTR</x:v>
      </x:c>
      <x:c r="C273" s="8" t="n">
        <x:f>Solactive_GBS!B129</x:f>
        <x:v>954.6363059341184</x:v>
      </x:c>
      <x:c r="D273" s="10" t="n">
        <x:f>Solactive_GBS!C129</x:f>
        <x:v>0.033336458475904385</x:v>
      </x:c>
      <x:c r="E273" s="12" t="n">
        <x:f>Sources!I273</x:f>
        <x:v>101.9</x:v>
      </x:c>
      <x:c r="F273" s="10" t="n">
        <x:f>E273/E272-1</x:f>
        <x:v>0.004930966469427922</x:v>
      </x:c>
      <x:c r="G273" s="10" t="n">
        <x:f>(1+D273)/(1+F273)-1</x:f>
        <x:v>0.028266112752273864</x:v>
      </x:c>
    </x:row>
    <x:row r="274">
      <x:c r="A274" s="6" t="n">
        <x:v>42766</x:v>
      </x:c>
      <x:c r="B274" t="str">
        <x:f>IF(A274&lt;=DATE(2006,5,31),"MSCI ACWI GBP Net Return",IF(A274&lt;=DATE(2024,2,29),"Solactive GBS Global Markets L&amp;M GBP NTR","PACW actual grossed up by OCF"))</x:f>
        <x:v>Solactive GBS Global Markets L&amp;M GBP NTR</x:v>
      </x:c>
      <x:c r="C274" s="8" t="n">
        <x:f>Solactive_GBS!B130</x:f>
        <x:v>963.0555199990777</x:v>
      </x:c>
      <x:c r="D274" s="10" t="n">
        <x:f>Solactive_GBS!C130</x:f>
        <x:v>0.008819289621214477</x:v>
      </x:c>
      <x:c r="E274" s="12" t="n">
        <x:f>Sources!I274</x:f>
        <x:v>101.4</x:v>
      </x:c>
      <x:c r="F274" s="10" t="n">
        <x:f>E274/E273-1</x:f>
        <x:v>-0.004906771344455385</x:v>
      </x:c>
      <x:c r="G274" s="10" t="n">
        <x:f>(1+D274)/(1+F274)-1</x:f>
        <x:v>0.013793743712049</x:v>
      </x:c>
    </x:row>
    <x:row r="275">
      <x:c r="A275" s="6" t="n">
        <x:v>42794</x:v>
      </x:c>
      <x:c r="B275" t="str">
        <x:f>IF(A275&lt;=DATE(2006,5,31),"MSCI ACWI GBP Net Return",IF(A275&lt;=DATE(2024,2,29),"Solactive GBS Global Markets L&amp;M GBP NTR","PACW actual grossed up by OCF"))</x:f>
        <x:v>Solactive GBS Global Markets L&amp;M GBP NTR</x:v>
      </x:c>
      <x:c r="C275" s="8" t="n">
        <x:f>Solactive_GBS!B131</x:f>
        <x:v>1000.9975415568015</x:v>
      </x:c>
      <x:c r="D275" s="10" t="n">
        <x:f>Solactive_GBS!C131</x:f>
        <x:v>0.039397543308572924</x:v>
      </x:c>
      <x:c r="E275" s="12" t="n">
        <x:f>Sources!I275</x:f>
        <x:v>102.1</x:v>
      </x:c>
      <x:c r="F275" s="10" t="n">
        <x:f>E275/E274-1</x:f>
        <x:v>0.006903353057199135</x:v>
      </x:c>
      <x:c r="G275" s="10" t="n">
        <x:f>(1+D275)/(1+F275)-1</x:f>
        <x:v>0.032271409319190036</x:v>
      </x:c>
    </x:row>
    <x:row r="276">
      <x:c r="A276" s="6" t="n">
        <x:v>42825</x:v>
      </x:c>
      <x:c r="B276" t="str">
        <x:f>IF(A276&lt;=DATE(2006,5,31),"MSCI ACWI GBP Net Return",IF(A276&lt;=DATE(2024,2,29),"Solactive GBS Global Markets L&amp;M GBP NTR","PACW actual grossed up by OCF"))</x:f>
        <x:v>Solactive GBS Global Markets L&amp;M GBP NTR</x:v>
      </x:c>
      <x:c r="C276" s="8" t="n">
        <x:f>Solactive_GBS!B132</x:f>
        <x:v>1008.1648427080072</x:v>
      </x:c>
      <x:c r="D276" s="10" t="n">
        <x:f>Solactive_GBS!C132</x:f>
        <x:v>0.007160158595453492</x:v>
      </x:c>
      <x:c r="E276" s="12" t="n">
        <x:f>Sources!I276</x:f>
        <x:v>102.5</x:v>
      </x:c>
      <x:c r="F276" s="10" t="n">
        <x:f>E276/E275-1</x:f>
        <x:v>0.003917727717923647</x:v>
      </x:c>
      <x:c r="G276" s="10" t="n">
        <x:f>(1+D276)/(1+F276)-1</x:f>
        <x:v>0.003229777488739538</x:v>
      </x:c>
    </x:row>
    <x:row r="277">
      <x:c r="A277" s="6" t="n">
        <x:v>42855</x:v>
      </x:c>
      <x:c r="B277" t="str">
        <x:f>IF(A277&lt;=DATE(2006,5,31),"MSCI ACWI GBP Net Return",IF(A277&lt;=DATE(2024,2,29),"Solactive GBS Global Markets L&amp;M GBP NTR","PACW actual grossed up by OCF"))</x:f>
        <x:v>Solactive GBS Global Markets L&amp;M GBP NTR</x:v>
      </x:c>
      <x:c r="C277" s="8" t="n">
        <x:f>Solactive_GBS!B133</x:f>
        <x:v>989.5023939877701</x:v>
      </x:c>
      <x:c r="D277" s="10" t="n">
        <x:f>Solactive_GBS!C133</x:f>
        <x:v>-0.018511306811799133</x:v>
      </x:c>
      <x:c r="E277" s="12" t="n">
        <x:f>Sources!I277</x:f>
        <x:v>102.9</x:v>
      </x:c>
      <x:c r="F277" s="10" t="n">
        <x:f>E277/E276-1</x:f>
        <x:v>0.0039024390243902474</x:v>
      </x:c>
      <x:c r="G277" s="10" t="n">
        <x:f>(1+D277)/(1+F277)-1</x:f>
        <x:v>-0.02232661757249188</x:v>
      </x:c>
    </x:row>
    <x:row r="278">
      <x:c r="A278" s="6" t="n">
        <x:v>42886</x:v>
      </x:c>
      <x:c r="B278" t="str">
        <x:f>IF(A278&lt;=DATE(2006,5,31),"MSCI ACWI GBP Net Return",IF(A278&lt;=DATE(2024,2,29),"Solactive GBS Global Markets L&amp;M GBP NTR","PACW actual grossed up by OCF"))</x:f>
        <x:v>Solactive GBS Global Markets L&amp;M GBP NTR</x:v>
      </x:c>
      <x:c r="C278" s="8" t="n">
        <x:f>Solactive_GBS!B134</x:f>
        <x:v>1014.4323848738613</x:v>
      </x:c>
      <x:c r="D278" s="10" t="n">
        <x:f>Solactive_GBS!C134</x:f>
        <x:v>0.025194472532422463</x:v>
      </x:c>
      <x:c r="E278" s="12" t="n">
        <x:f>Sources!I278</x:f>
        <x:v>103.3</x:v>
      </x:c>
      <x:c r="F278" s="10" t="n">
        <x:f>E278/E277-1</x:f>
        <x:v>0.0038872691933915515</x:v>
      </x:c>
      <x:c r="G278" s="10" t="n">
        <x:f>(1+D278)/(1+F278)-1</x:f>
        <x:v>0.02122469722735998</x:v>
      </x:c>
    </x:row>
    <x:row r="279">
      <x:c r="A279" s="6" t="n">
        <x:v>42916</x:v>
      </x:c>
      <x:c r="B279" t="str">
        <x:f>IF(A279&lt;=DATE(2006,5,31),"MSCI ACWI GBP Net Return",IF(A279&lt;=DATE(2024,2,29),"Solactive GBS Global Markets L&amp;M GBP NTR","PACW actual grossed up by OCF"))</x:f>
        <x:v>Solactive GBS Global Markets L&amp;M GBP NTR</x:v>
      </x:c>
      <x:c r="C279" s="8" t="n">
        <x:f>Solactive_GBS!B135</x:f>
        <x:v>1012.5063650065467</x:v>
      </x:c>
      <x:c r="D279" s="10" t="n">
        <x:f>Solactive_GBS!C135</x:f>
        <x:v>-0.0018986182776037364</x:v>
      </x:c>
      <x:c r="E279" s="12" t="n">
        <x:f>Sources!I279</x:f>
        <x:v>103.3</x:v>
      </x:c>
      <x:c r="F279" s="10" t="n">
        <x:f>E279/E278-1</x:f>
        <x:v>0</x:v>
      </x:c>
      <x:c r="G279" s="10" t="n">
        <x:f>(1+D279)/(1+F279)-1</x:f>
        <x:v>-0.0018986182776037364</x:v>
      </x:c>
    </x:row>
    <x:row r="280">
      <x:c r="A280" s="6" t="n">
        <x:v>42947</x:v>
      </x:c>
      <x:c r="B280" t="str">
        <x:f>IF(A280&lt;=DATE(2006,5,31),"MSCI ACWI GBP Net Return",IF(A280&lt;=DATE(2024,2,29),"Solactive GBS Global Markets L&amp;M GBP NTR","PACW actual grossed up by OCF"))</x:f>
        <x:v>Solactive GBS Global Markets L&amp;M GBP NTR</x:v>
      </x:c>
      <x:c r="C280" s="8" t="n">
        <x:f>Solactive_GBS!B136</x:f>
        <x:v>1025.3696704754066</x:v>
      </x:c>
      <x:c r="D280" s="10" t="n">
        <x:f>Solactive_GBS!C136</x:f>
        <x:v>0.01270441936310851</x:v>
      </x:c>
      <x:c r="E280" s="12" t="n">
        <x:f>Sources!I280</x:f>
        <x:v>103.2</x:v>
      </x:c>
      <x:c r="F280" s="10" t="n">
        <x:f>E280/E279-1</x:f>
        <x:v>-0.0009680542110357404</x:v>
      </x:c>
      <x:c r="G280" s="10" t="n">
        <x:f>(1+D280)/(1+F280)-1</x:f>
        <x:v>0.01368572209504948</x:v>
      </x:c>
    </x:row>
    <x:row r="281">
      <x:c r="A281" s="6" t="n">
        <x:v>42978</x:v>
      </x:c>
      <x:c r="B281" t="str">
        <x:f>IF(A281&lt;=DATE(2006,5,31),"MSCI ACWI GBP Net Return",IF(A281&lt;=DATE(2024,2,29),"Solactive GBS Global Markets L&amp;M GBP NTR","PACW actual grossed up by OCF"))</x:f>
        <x:v>Solactive GBS Global Markets L&amp;M GBP NTR</x:v>
      </x:c>
      <x:c r="C281" s="8" t="n">
        <x:f>Solactive_GBS!B137</x:f>
        <x:v>1053.0986582810974</x:v>
      </x:c>
      <x:c r="D281" s="10" t="n">
        <x:f>Solactive_GBS!C137</x:f>
        <x:v>0.027042917890124807</x:v>
      </x:c>
      <x:c r="E281" s="12" t="n">
        <x:f>Sources!I281</x:f>
        <x:v>103.8</x:v>
      </x:c>
      <x:c r="F281" s="10" t="n">
        <x:f>E281/E280-1</x:f>
        <x:v>0.005813953488372103</x:v>
      </x:c>
      <x:c r="G281" s="10" t="n">
        <x:f>(1+D281)/(1+F281)-1</x:f>
        <x:v>0.02110625362486407</x:v>
      </x:c>
    </x:row>
    <x:row r="282">
      <x:c r="A282" s="6" t="n">
        <x:v>43008</x:v>
      </x:c>
      <x:c r="B282" t="str">
        <x:f>IF(A282&lt;=DATE(2006,5,31),"MSCI ACWI GBP Net Return",IF(A282&lt;=DATE(2024,2,29),"Solactive GBS Global Markets L&amp;M GBP NTR","PACW actual grossed up by OCF"))</x:f>
        <x:v>Solactive GBS Global Markets L&amp;M GBP NTR</x:v>
      </x:c>
      <x:c r="C282" s="8" t="n">
        <x:f>Solactive_GBS!B138</x:f>
        <x:v>1030.7283364020996</x:v>
      </x:c>
      <x:c r="D282" s="10" t="n">
        <x:f>Solactive_GBS!C138</x:f>
        <x:v>-0.02124238000218459</x:v>
      </x:c>
      <x:c r="E282" s="12" t="n">
        <x:f>Sources!I282</x:f>
        <x:v>104.1</x:v>
      </x:c>
      <x:c r="F282" s="10" t="n">
        <x:f>E282/E281-1</x:f>
        <x:v>0.0028901734104045396</x:v>
      </x:c>
      <x:c r="G282" s="10" t="n">
        <x:f>(1+D282)/(1+F282)-1</x:f>
        <x:v>-0.024063007149152327</x:v>
      </x:c>
    </x:row>
    <x:row r="283">
      <x:c r="A283" s="6" t="n">
        <x:v>43039</x:v>
      </x:c>
      <x:c r="B283" t="str">
        <x:f>IF(A283&lt;=DATE(2006,5,31),"MSCI ACWI GBP Net Return",IF(A283&lt;=DATE(2024,2,29),"Solactive GBS Global Markets L&amp;M GBP NTR","PACW actual grossed up by OCF"))</x:f>
        <x:v>Solactive GBS Global Markets L&amp;M GBP NTR</x:v>
      </x:c>
      <x:c r="C283" s="8" t="n">
        <x:f>Solactive_GBS!B139</x:f>
        <x:v>1063.0655261802667</x:v>
      </x:c>
      <x:c r="D283" s="10" t="n">
        <x:f>Solactive_GBS!C139</x:f>
        <x:v>0.03137314521791912</x:v>
      </x:c>
      <x:c r="E283" s="12" t="n">
        <x:f>Sources!I283</x:f>
        <x:v>104.2</x:v>
      </x:c>
      <x:c r="F283" s="10" t="n">
        <x:f>E283/E282-1</x:f>
        <x:v>0.0009606147934679843</x:v>
      </x:c>
      <x:c r="G283" s="10" t="n">
        <x:f>(1+D283)/(1+F283)-1</x:f>
        <x:v>0.030383343734984303</x:v>
      </x:c>
    </x:row>
    <x:row r="284">
      <x:c r="A284" s="6" t="n">
        <x:v>43069</x:v>
      </x:c>
      <x:c r="B284" t="str">
        <x:f>IF(A284&lt;=DATE(2006,5,31),"MSCI ACWI GBP Net Return",IF(A284&lt;=DATE(2024,2,29),"Solactive GBS Global Markets L&amp;M GBP NTR","PACW actual grossed up by OCF"))</x:f>
        <x:v>Solactive GBS Global Markets L&amp;M GBP NTR</x:v>
      </x:c>
      <x:c r="C284" s="8" t="n">
        <x:f>Solactive_GBS!B140</x:f>
        <x:v>1063.1777823677994</x:v>
      </x:c>
      <x:c r="D284" s="10" t="n">
        <x:f>Solactive_GBS!C140</x:f>
        <x:v>0.00010559667750298374</x:v>
      </x:c>
      <x:c r="E284" s="12" t="n">
        <x:f>Sources!I284</x:f>
        <x:v>104.6</x:v>
      </x:c>
      <x:c r="F284" s="10" t="n">
        <x:f>E284/E283-1</x:f>
        <x:v>0.0038387715930900956</x:v>
      </x:c>
      <x:c r="G284" s="10" t="n">
        <x:f>(1+D284)/(1+F284)-1</x:f>
        <x:v>-0.0037188989120858773</x:v>
      </x:c>
    </x:row>
    <x:row r="285">
      <x:c r="A285" s="6" t="n">
        <x:v>43100</x:v>
      </x:c>
      <x:c r="B285" t="str">
        <x:f>IF(A285&lt;=DATE(2006,5,31),"MSCI ACWI GBP Net Return",IF(A285&lt;=DATE(2024,2,29),"Solactive GBS Global Markets L&amp;M GBP NTR","PACW actual grossed up by OCF"))</x:f>
        <x:v>Solactive GBS Global Markets L&amp;M GBP NTR</x:v>
      </x:c>
      <x:c r="C285" s="8" t="n">
        <x:f>Solactive_GBS!B141</x:f>
        <x:v>1080.939332445958</x:v>
      </x:c>
      <x:c r="D285" s="10" t="n">
        <x:f>Solactive_GBS!C141</x:f>
        <x:v>0.016706095981992686</x:v>
      </x:c>
      <x:c r="E285" s="12" t="n">
        <x:f>Sources!I285</x:f>
        <x:v>104.9</x:v>
      </x:c>
      <x:c r="F285" s="10" t="n">
        <x:f>E285/E284-1</x:f>
        <x:v>0.0028680688336522042</x:v>
      </x:c>
      <x:c r="G285" s="10" t="n">
        <x:f>(1+D285)/(1+F285)-1</x:f>
        <x:v>0.013798452237525405</x:v>
      </x:c>
    </x:row>
    <x:row r="286">
      <x:c r="A286" s="6" t="n">
        <x:v>43131</x:v>
      </x:c>
      <x:c r="B286" t="str">
        <x:f>IF(A286&lt;=DATE(2006,5,31),"MSCI ACWI GBP Net Return",IF(A286&lt;=DATE(2024,2,29),"Solactive GBS Global Markets L&amp;M GBP NTR","PACW actual grossed up by OCF"))</x:f>
        <x:v>Solactive GBS Global Markets L&amp;M GBP NTR</x:v>
      </x:c>
      <x:c r="C286" s="8" t="n">
        <x:f>Solactive_GBS!B142</x:f>
        <x:v>1086.1794740731239</x:v>
      </x:c>
      <x:c r="D286" s="10" t="n">
        <x:f>Solactive_GBS!C142</x:f>
        <x:v>0.004847766632109174</x:v>
      </x:c>
      <x:c r="E286" s="12" t="n">
        <x:f>Sources!I286</x:f>
        <x:v>104.4</x:v>
      </x:c>
      <x:c r="F286" s="10" t="n">
        <x:f>E286/E285-1</x:f>
        <x:v>-0.004766444232602529</x:v>
      </x:c>
      <x:c r="G286" s="10" t="n">
        <x:f>(1+D286)/(1+F286)-1</x:f>
        <x:v>0.009660255935902917</x:v>
      </x:c>
    </x:row>
    <x:row r="287">
      <x:c r="A287" s="6" t="n">
        <x:v>43159</x:v>
      </x:c>
      <x:c r="B287" t="str">
        <x:f>IF(A287&lt;=DATE(2006,5,31),"MSCI ACWI GBP Net Return",IF(A287&lt;=DATE(2024,2,29),"Solactive GBS Global Markets L&amp;M GBP NTR","PACW actual grossed up by OCF"))</x:f>
        <x:v>Solactive GBS Global Markets L&amp;M GBP NTR</x:v>
      </x:c>
      <x:c r="C287" s="8" t="n">
        <x:f>Solactive_GBS!B143</x:f>
        <x:v>1074.156665439852</x:v>
      </x:c>
      <x:c r="D287" s="10" t="n">
        <x:f>Solactive_GBS!C143</x:f>
        <x:v>-0.011068896918284388</x:v>
      </x:c>
      <x:c r="E287" s="12" t="n">
        <x:f>Sources!I287</x:f>
        <x:v>104.9</x:v>
      </x:c>
      <x:c r="F287" s="10" t="n">
        <x:f>E287/E286-1</x:f>
        <x:v>0.00478927203065127</x:v>
      </x:c>
      <x:c r="G287" s="10" t="n">
        <x:f>(1+D287)/(1+F287)-1</x:f>
        <x:v>-0.015782581871009338</x:v>
      </x:c>
    </x:row>
    <x:row r="288">
      <x:c r="A288" s="6" t="n">
        <x:v>43190</x:v>
      </x:c>
      <x:c r="B288" t="str">
        <x:f>IF(A288&lt;=DATE(2006,5,31),"MSCI ACWI GBP Net Return",IF(A288&lt;=DATE(2024,2,29),"Solactive GBS Global Markets L&amp;M GBP NTR","PACW actual grossed up by OCF"))</x:f>
        <x:v>Solactive GBS Global Markets L&amp;M GBP NTR</x:v>
      </x:c>
      <x:c r="C288" s="8" t="n">
        <x:f>Solactive_GBS!B144</x:f>
        <x:v>1032.367162774406</x:v>
      </x:c>
      <x:c r="D288" s="10" t="n">
        <x:f>Solactive_GBS!C144</x:f>
        <x:v>-0.03890447642321693</x:v>
      </x:c>
      <x:c r="E288" s="12" t="n">
        <x:f>Sources!I288</x:f>
        <x:v>105</x:v>
      </x:c>
      <x:c r="F288" s="10" t="n">
        <x:f>E288/E287-1</x:f>
        <x:v>0.0009532888465204614</x:v>
      </x:c>
      <x:c r="G288" s="10" t="n">
        <x:f>(1+D288)/(1+F288)-1</x:f>
        <x:v>-0.039819805493290006</x:v>
      </x:c>
    </x:row>
    <x:row r="289">
      <x:c r="A289" s="6" t="n">
        <x:v>43220</x:v>
      </x:c>
      <x:c r="B289" t="str">
        <x:f>IF(A289&lt;=DATE(2006,5,31),"MSCI ACWI GBP Net Return",IF(A289&lt;=DATE(2024,2,29),"Solactive GBS Global Markets L&amp;M GBP NTR","PACW actual grossed up by OCF"))</x:f>
        <x:v>Solactive GBS Global Markets L&amp;M GBP NTR</x:v>
      </x:c>
      <x:c r="C289" s="8" t="n">
        <x:f>Solactive_GBS!B145</x:f>
        <x:v>1061.5982181452564</x:v>
      </x:c>
      <x:c r="D289" s="10" t="n">
        <x:f>Solactive_GBS!C145</x:f>
        <x:v>0.02831459235132394</x:v>
      </x:c>
      <x:c r="E289" s="12" t="n">
        <x:f>Sources!I289</x:f>
        <x:v>105.4</x:v>
      </x:c>
      <x:c r="F289" s="10" t="n">
        <x:f>E289/E288-1</x:f>
        <x:v>0.003809523809523929</x:v>
      </x:c>
      <x:c r="G289" s="10" t="n">
        <x:f>(1+D289)/(1+F289)-1</x:f>
        <x:v>0.02441207017921254</x:v>
      </x:c>
    </x:row>
    <x:row r="290">
      <x:c r="A290" s="6" t="n">
        <x:v>43251</x:v>
      </x:c>
      <x:c r="B290" t="str">
        <x:f>IF(A290&lt;=DATE(2006,5,31),"MSCI ACWI GBP Net Return",IF(A290&lt;=DATE(2024,2,29),"Solactive GBS Global Markets L&amp;M GBP NTR","PACW actual grossed up by OCF"))</x:f>
        <x:v>Solactive GBS Global Markets L&amp;M GBP NTR</x:v>
      </x:c>
      <x:c r="C290" s="8" t="n">
        <x:f>Solactive_GBS!B146</x:f>
        <x:v>1099.5419491880684</x:v>
      </x:c>
      <x:c r="D290" s="10" t="n">
        <x:f>Solactive_GBS!C146</x:f>
        <x:v>0.035742082451027946</x:v>
      </x:c>
      <x:c r="E290" s="12" t="n">
        <x:f>Sources!I290</x:f>
        <x:v>105.8</x:v>
      </x:c>
      <x:c r="F290" s="10" t="n">
        <x:f>E290/E289-1</x:f>
        <x:v>0.003795066413662118</x:v>
      </x:c>
      <x:c r="G290" s="10" t="n">
        <x:f>(1+D290)/(1+F290)-1</x:f>
        <x:v>0.03182623336803747</x:v>
      </x:c>
    </x:row>
    <x:row r="291">
      <x:c r="A291" s="6" t="n">
        <x:v>43281</x:v>
      </x:c>
      <x:c r="B291" t="str">
        <x:f>IF(A291&lt;=DATE(2006,5,31),"MSCI ACWI GBP Net Return",IF(A291&lt;=DATE(2024,2,29),"Solactive GBS Global Markets L&amp;M GBP NTR","PACW actual grossed up by OCF"))</x:f>
        <x:v>Solactive GBS Global Markets L&amp;M GBP NTR</x:v>
      </x:c>
      <x:c r="C291" s="8" t="n">
        <x:f>Solactive_GBS!B147</x:f>
        <x:v>1102.1699975987349</x:v>
      </x:c>
      <x:c r="D291" s="10" t="n">
        <x:f>Solactive_GBS!C147</x:f>
        <x:v>0.0023901301924924567</x:v>
      </x:c>
      <x:c r="E291" s="12" t="n">
        <x:f>Sources!I291</x:f>
        <x:v>105.8</x:v>
      </x:c>
      <x:c r="F291" s="10" t="n">
        <x:f>E291/E290-1</x:f>
        <x:v>0</x:v>
      </x:c>
      <x:c r="G291" s="10" t="n">
        <x:f>(1+D291)/(1+F291)-1</x:f>
        <x:v>0.0023901301924924567</x:v>
      </x:c>
    </x:row>
    <x:row r="292">
      <x:c r="A292" s="6" t="n">
        <x:v>43312</x:v>
      </x:c>
      <x:c r="B292" t="str">
        <x:f>IF(A292&lt;=DATE(2006,5,31),"MSCI ACWI GBP Net Return",IF(A292&lt;=DATE(2024,2,29),"Solactive GBS Global Markets L&amp;M GBP NTR","PACW actual grossed up by OCF"))</x:f>
        <x:v>Solactive GBS Global Markets L&amp;M GBP NTR</x:v>
      </x:c>
      <x:c r="C292" s="8" t="n">
        <x:f>Solactive_GBS!B148</x:f>
        <x:v>1143.1269810256763</x:v>
      </x:c>
      <x:c r="D292" s="10" t="n">
        <x:f>Solactive_GBS!C148</x:f>
        <x:v>0.03716031421302812</x:v>
      </x:c>
      <x:c r="E292" s="12" t="n">
        <x:f>Sources!I292</x:f>
        <x:v>105.8</x:v>
      </x:c>
      <x:c r="F292" s="10" t="n">
        <x:f>E292/E291-1</x:f>
        <x:v>0</x:v>
      </x:c>
      <x:c r="G292" s="10" t="n">
        <x:f>(1+D292)/(1+F292)-1</x:f>
        <x:v>0.03716031421302812</x:v>
      </x:c>
    </x:row>
    <x:row r="293">
      <x:c r="A293" s="6" t="n">
        <x:v>43343</x:v>
      </x:c>
      <x:c r="B293" t="str">
        <x:f>IF(A293&lt;=DATE(2006,5,31),"MSCI ACWI GBP Net Return",IF(A293&lt;=DATE(2024,2,29),"Solactive GBS Global Markets L&amp;M GBP NTR","PACW actual grossed up by OCF"))</x:f>
        <x:v>Solactive GBS Global Markets L&amp;M GBP NTR</x:v>
      </x:c>
      <x:c r="C293" s="8" t="n">
        <x:f>Solactive_GBS!B149</x:f>
        <x:v>1161.7586590143055</x:v>
      </x:c>
      <x:c r="D293" s="10" t="n">
        <x:f>Solactive_GBS!C149</x:f>
        <x:v>0.016298869939988636</x:v>
      </x:c>
      <x:c r="E293" s="12" t="n">
        <x:f>Sources!I293</x:f>
        <x:v>106.5</x:v>
      </x:c>
      <x:c r="F293" s="10" t="n">
        <x:f>E293/E292-1</x:f>
        <x:v>0.006616257088846833</x:v>
      </x:c>
      <x:c r="G293" s="10" t="n">
        <x:f>(1+D293)/(1+F293)-1</x:f>
        <x:v>0.00961897126432687</x:v>
      </x:c>
    </x:row>
    <x:row r="294">
      <x:c r="A294" s="6" t="n">
        <x:v>43373</x:v>
      </x:c>
      <x:c r="B294" t="str">
        <x:f>IF(A294&lt;=DATE(2006,5,31),"MSCI ACWI GBP Net Return",IF(A294&lt;=DATE(2024,2,29),"Solactive GBS Global Markets L&amp;M GBP NTR","PACW actual grossed up by OCF"))</x:f>
        <x:v>Solactive GBS Global Markets L&amp;M GBP NTR</x:v>
      </x:c>
      <x:c r="C294" s="8" t="n">
        <x:f>Solactive_GBS!B150</x:f>
        <x:v>1163.649349523107</x:v>
      </x:c>
      <x:c r="D294" s="10" t="n">
        <x:f>Solactive_GBS!C150</x:f>
        <x:v>0.0016274382756962247</x:v>
      </x:c>
      <x:c r="E294" s="12" t="n">
        <x:f>Sources!I294</x:f>
        <x:v>106.6</x:v>
      </x:c>
      <x:c r="F294" s="10" t="n">
        <x:f>E294/E293-1</x:f>
        <x:v>0.0009389671361501595</x:v>
      </x:c>
      <x:c r="G294" s="10" t="n">
        <x:f>(1+D294)/(1+F294)-1</x:f>
        <x:v>0.0006878252941993068</x:v>
      </x:c>
    </x:row>
    <x:row r="295">
      <x:c r="A295" s="6" t="n">
        <x:v>43404</x:v>
      </x:c>
      <x:c r="B295" t="str">
        <x:f>IF(A295&lt;=DATE(2006,5,31),"MSCI ACWI GBP Net Return",IF(A295&lt;=DATE(2024,2,29),"Solactive GBS Global Markets L&amp;M GBP NTR","PACW actual grossed up by OCF"))</x:f>
        <x:v>Solactive GBS Global Markets L&amp;M GBP NTR</x:v>
      </x:c>
      <x:c r="C295" s="8" t="n">
        <x:f>Solactive_GBS!B151</x:f>
        <x:v>1098.9094397050158</x:v>
      </x:c>
      <x:c r="D295" s="10" t="n">
        <x:f>Solactive_GBS!C151</x:f>
        <x:v>-0.05563523912476154</x:v>
      </x:c>
      <x:c r="E295" s="12" t="n">
        <x:f>Sources!I295</x:f>
        <x:v>106.7</x:v>
      </x:c>
      <x:c r="F295" s="10" t="n">
        <x:f>E295/E294-1</x:f>
        <x:v>0.0009380863039401</x:v>
      </x:c>
      <x:c r="G295" s="10" t="n">
        <x:f>(1+D295)/(1+F295)-1</x:f>
        <x:v>-0.05652030450515089</x:v>
      </x:c>
    </x:row>
    <x:row r="296">
      <x:c r="A296" s="6" t="n">
        <x:v>43434</x:v>
      </x:c>
      <x:c r="B296" t="str">
        <x:f>IF(A296&lt;=DATE(2006,5,31),"MSCI ACWI GBP Net Return",IF(A296&lt;=DATE(2024,2,29),"Solactive GBS Global Markets L&amp;M GBP NTR","PACW actual grossed up by OCF"))</x:f>
        <x:v>Solactive GBS Global Markets L&amp;M GBP NTR</x:v>
      </x:c>
      <x:c r="C296" s="8" t="n">
        <x:f>Solactive_GBS!B152</x:f>
        <x:v>1118.0482649368132</x:v>
      </x:c>
      <x:c r="D296" s="10" t="n">
        <x:f>Solactive_GBS!C152</x:f>
        <x:v>0.01741619876969569</x:v>
      </x:c>
      <x:c r="E296" s="12" t="n">
        <x:f>Sources!I296</x:f>
        <x:v>107</x:v>
      </x:c>
      <x:c r="F296" s="10" t="n">
        <x:f>E296/E295-1</x:f>
        <x:v>0.00281162136832247</x:v>
      </x:c>
      <x:c r="G296" s="10" t="n">
        <x:f>(1+D296)/(1+F296)-1</x:f>
        <x:v>0.014563629988098237</x:v>
      </x:c>
    </x:row>
    <x:row r="297">
      <x:c r="A297" s="6" t="n">
        <x:v>43465</x:v>
      </x:c>
      <x:c r="B297" t="str">
        <x:f>IF(A297&lt;=DATE(2006,5,31),"MSCI ACWI GBP Net Return",IF(A297&lt;=DATE(2024,2,29),"Solactive GBS Global Markets L&amp;M GBP NTR","PACW actual grossed up by OCF"))</x:f>
        <x:v>Solactive GBS Global Markets L&amp;M GBP NTR</x:v>
      </x:c>
      <x:c r="C297" s="8" t="n">
        <x:f>Solactive_GBS!B153</x:f>
        <x:v>1041.0530565133013</x:v>
      </x:c>
      <x:c r="D297" s="10" t="n">
        <x:f>Solactive_GBS!C153</x:f>
        <x:v>-0.06886572864353346</x:v>
      </x:c>
      <x:c r="E297" s="12" t="n">
        <x:f>Sources!I297</x:f>
        <x:v>107.1</x:v>
      </x:c>
      <x:c r="F297" s="10" t="n">
        <x:f>E297/E296-1</x:f>
        <x:v>0.0009345794392523477</x:v>
      </x:c>
      <x:c r="G297" s="10" t="n">
        <x:f>(1+D297)/(1+F297)-1</x:f>
        <x:v>-0.0697351350593658</x:v>
      </x:c>
    </x:row>
    <x:row r="298">
      <x:c r="A298" s="6" t="n">
        <x:v>43496</x:v>
      </x:c>
      <x:c r="B298" t="str">
        <x:f>IF(A298&lt;=DATE(2006,5,31),"MSCI ACWI GBP Net Return",IF(A298&lt;=DATE(2024,2,29),"Solactive GBS Global Markets L&amp;M GBP NTR","PACW actual grossed up by OCF"))</x:f>
        <x:v>Solactive GBS Global Markets L&amp;M GBP NTR</x:v>
      </x:c>
      <x:c r="C298" s="8" t="n">
        <x:f>Solactive_GBS!B154</x:f>
        <x:v>1087.1174115588037</x:v>
      </x:c>
      <x:c r="D298" s="10" t="n">
        <x:f>Solactive_GBS!C154</x:f>
        <x:v>0.044247845733992985</x:v>
      </x:c>
      <x:c r="E298" s="12" t="n">
        <x:f>Sources!I298</x:f>
        <x:v>106.3</x:v>
      </x:c>
      <x:c r="F298" s="10" t="n">
        <x:f>E298/E297-1</x:f>
        <x:v>-0.007469654528478031</x:v>
      </x:c>
      <x:c r="G298" s="10" t="n">
        <x:f>(1+D298)/(1+F298)-1</x:f>
        <x:v>0.05210671945541523</x:v>
      </x:c>
    </x:row>
    <x:row r="299">
      <x:c r="A299" s="6" t="n">
        <x:v>43524</x:v>
      </x:c>
      <x:c r="B299" t="str">
        <x:f>IF(A299&lt;=DATE(2006,5,31),"MSCI ACWI GBP Net Return",IF(A299&lt;=DATE(2024,2,29),"Solactive GBS Global Markets L&amp;M GBP NTR","PACW actual grossed up by OCF"))</x:f>
        <x:v>Solactive GBS Global Markets L&amp;M GBP NTR</x:v>
      </x:c>
      <x:c r="C299" s="8" t="n">
        <x:f>Solactive_GBS!B155</x:f>
        <x:v>1103.6583892831804</x:v>
      </x:c>
      <x:c r="D299" s="10" t="n">
        <x:f>Solactive_GBS!C155</x:f>
        <x:v>0.015215447336694554</x:v>
      </x:c>
      <x:c r="E299" s="12" t="n">
        <x:f>Sources!I299</x:f>
        <x:v>106.8</x:v>
      </x:c>
      <x:c r="F299" s="10" t="n">
        <x:f>E299/E298-1</x:f>
        <x:v>0.00470366886171214</x:v>
      </x:c>
      <x:c r="G299" s="10" t="n">
        <x:f>(1+D299)/(1+F299)-1</x:f>
        <x:v>0.01046256602893858</x:v>
      </x:c>
    </x:row>
    <x:row r="300">
      <x:c r="A300" s="6" t="n">
        <x:v>43555</x:v>
      </x:c>
      <x:c r="B300" t="str">
        <x:f>IF(A300&lt;=DATE(2006,5,31),"MSCI ACWI GBP Net Return",IF(A300&lt;=DATE(2024,2,29),"Solactive GBS Global Markets L&amp;M GBP NTR","PACW actual grossed up by OCF"))</x:f>
        <x:v>Solactive GBS Global Markets L&amp;M GBP NTR</x:v>
      </x:c>
      <x:c r="C300" s="8" t="n">
        <x:f>Solactive_GBS!B156</x:f>
        <x:v>1140.7599140053153</x:v>
      </x:c>
      <x:c r="D300" s="10" t="n">
        <x:f>Solactive_GBS!C156</x:f>
        <x:v>0.033616855616194874</x:v>
      </x:c>
      <x:c r="E300" s="12" t="n">
        <x:f>Sources!I300</x:f>
        <x:v>107</x:v>
      </x:c>
      <x:c r="F300" s="10" t="n">
        <x:f>E300/E299-1</x:f>
        <x:v>0.0018726591760300781</x:v>
      </x:c>
      <x:c r="G300" s="10" t="n">
        <x:f>(1+D300)/(1+F300)-1</x:f>
        <x:v>0.031684861493547656</x:v>
      </x:c>
    </x:row>
    <x:row r="301">
      <x:c r="A301" s="6" t="n">
        <x:v>43585</x:v>
      </x:c>
      <x:c r="B301" t="str">
        <x:f>IF(A301&lt;=DATE(2006,5,31),"MSCI ACWI GBP Net Return",IF(A301&lt;=DATE(2024,2,29),"Solactive GBS Global Markets L&amp;M GBP NTR","PACW actual grossed up by OCF"))</x:f>
        <x:v>Solactive GBS Global Markets L&amp;M GBP NTR</x:v>
      </x:c>
      <x:c r="C301" s="8" t="n">
        <x:f>Solactive_GBS!B157</x:f>
        <x:v>1178.7384045782774</x:v>
      </x:c>
      <x:c r="D301" s="10" t="n">
        <x:f>Solactive_GBS!C157</x:f>
        <x:v>0.0332922730775278</x:v>
      </x:c>
      <x:c r="E301" s="12" t="n">
        <x:f>Sources!I301</x:f>
        <x:v>107.6</x:v>
      </x:c>
      <x:c r="F301" s="10" t="n">
        <x:f>E301/E300-1</x:f>
        <x:v>0.005607476635513864</x:v>
      </x:c>
      <x:c r="G301" s="10" t="n">
        <x:f>(1+D301)/(1+F301)-1</x:f>
        <x:v>0.02753042025367547</x:v>
      </x:c>
    </x:row>
    <x:row r="302">
      <x:c r="A302" s="6" t="n">
        <x:v>43616</x:v>
      </x:c>
      <x:c r="B302" t="str">
        <x:f>IF(A302&lt;=DATE(2006,5,31),"MSCI ACWI GBP Net Return",IF(A302&lt;=DATE(2024,2,29),"Solactive GBS Global Markets L&amp;M GBP NTR","PACW actual grossed up by OCF"))</x:f>
        <x:v>Solactive GBS Global Markets L&amp;M GBP NTR</x:v>
      </x:c>
      <x:c r="C302" s="8" t="n">
        <x:f>Solactive_GBS!B158</x:f>
        <x:v>1148.21098968135</x:v>
      </x:c>
      <x:c r="D302" s="10" t="n">
        <x:f>Solactive_GBS!C158</x:f>
        <x:v>-0.025898379808749317</x:v>
      </x:c>
      <x:c r="E302" s="12" t="n">
        <x:f>Sources!I302</x:f>
        <x:v>107.9</x:v>
      </x:c>
      <x:c r="F302" s="10" t="n">
        <x:f>E302/E301-1</x:f>
        <x:v>0.0027881040892194786</x:v>
      </x:c>
      <x:c r="G302" s="10" t="n">
        <x:f>(1+D302)/(1+F302)-1</x:f>
        <x:v>-0.02860672536998554</x:v>
      </x:c>
    </x:row>
    <x:row r="303">
      <x:c r="A303" s="6" t="n">
        <x:v>43646</x:v>
      </x:c>
      <x:c r="B303" t="str">
        <x:f>IF(A303&lt;=DATE(2006,5,31),"MSCI ACWI GBP Net Return",IF(A303&lt;=DATE(2024,2,29),"Solactive GBS Global Markets L&amp;M GBP NTR","PACW actual grossed up by OCF"))</x:f>
        <x:v>Solactive GBS Global Markets L&amp;M GBP NTR</x:v>
      </x:c>
      <x:c r="C303" s="8" t="n">
        <x:f>Solactive_GBS!B159</x:f>
        <x:v>1210.6812731291711</x:v>
      </x:c>
      <x:c r="D303" s="10" t="n">
        <x:f>Solactive_GBS!C159</x:f>
        <x:v>0.05440662387768813</x:v>
      </x:c>
      <x:c r="E303" s="12" t="n">
        <x:f>Sources!I303</x:f>
        <x:v>107.9</x:v>
      </x:c>
      <x:c r="F303" s="10" t="n">
        <x:f>E303/E302-1</x:f>
        <x:v>0</x:v>
      </x:c>
      <x:c r="G303" s="10" t="n">
        <x:f>(1+D303)/(1+F303)-1</x:f>
        <x:v>0.05440662387768813</x:v>
      </x:c>
    </x:row>
    <x:row r="304">
      <x:c r="A304" s="6" t="n">
        <x:v>43677</x:v>
      </x:c>
      <x:c r="B304" t="str">
        <x:f>IF(A304&lt;=DATE(2006,5,31),"MSCI ACWI GBP Net Return",IF(A304&lt;=DATE(2024,2,29),"Solactive GBS Global Markets L&amp;M GBP NTR","PACW actual grossed up by OCF"))</x:f>
        <x:v>Solactive GBS Global Markets L&amp;M GBP NTR</x:v>
      </x:c>
      <x:c r="C304" s="8" t="n">
        <x:f>Solactive_GBS!B160</x:f>
        <x:v>1262.1498803704153</x:v>
      </x:c>
      <x:c r="D304" s="10" t="n">
        <x:f>Solactive_GBS!C160</x:f>
        <x:v>0.04251210321294274</x:v>
      </x:c>
      <x:c r="E304" s="12" t="n">
        <x:f>Sources!I304</x:f>
        <x:v>107.9</x:v>
      </x:c>
      <x:c r="F304" s="10" t="n">
        <x:f>E304/E303-1</x:f>
        <x:v>0</x:v>
      </x:c>
      <x:c r="G304" s="10" t="n">
        <x:f>(1+D304)/(1+F304)-1</x:f>
        <x:v>0.04251210321294274</x:v>
      </x:c>
    </x:row>
    <x:row r="305">
      <x:c r="A305" s="6" t="n">
        <x:v>43708</x:v>
      </x:c>
      <x:c r="B305" t="str">
        <x:f>IF(A305&lt;=DATE(2006,5,31),"MSCI ACWI GBP Net Return",IF(A305&lt;=DATE(2024,2,29),"Solactive GBS Global Markets L&amp;M GBP NTR","PACW actual grossed up by OCF"))</x:f>
        <x:v>Solactive GBS Global Markets L&amp;M GBP NTR</x:v>
      </x:c>
      <x:c r="C305" s="8" t="n">
        <x:f>Solactive_GBS!B161</x:f>
        <x:v>1239.4895158545933</x:v>
      </x:c>
      <x:c r="D305" s="10" t="n">
        <x:f>Solactive_GBS!C161</x:f>
        <x:v>-0.017953782564374743</x:v>
      </x:c>
      <x:c r="E305" s="12" t="n">
        <x:f>Sources!I305</x:f>
        <x:v>108.4</x:v>
      </x:c>
      <x:c r="F305" s="10" t="n">
        <x:f>E305/E304-1</x:f>
        <x:v>0.004633920296570837</x:v>
      </x:c>
      <x:c r="G305" s="10" t="n">
        <x:f>(1+D305)/(1+F305)-1</x:f>
        <x:v>-0.02248351603963128</x:v>
      </x:c>
    </x:row>
    <x:row r="306">
      <x:c r="A306" s="6" t="n">
        <x:v>43738</x:v>
      </x:c>
      <x:c r="B306" t="str">
        <x:f>IF(A306&lt;=DATE(2006,5,31),"MSCI ACWI GBP Net Return",IF(A306&lt;=DATE(2024,2,29),"Solactive GBS Global Markets L&amp;M GBP NTR","PACW actual grossed up by OCF"))</x:f>
        <x:v>Solactive GBS Global Markets L&amp;M GBP NTR</x:v>
      </x:c>
      <x:c r="C306" s="8" t="n">
        <x:f>Solactive_GBS!B162</x:f>
        <x:v>1250.9829539385355</x:v>
      </x:c>
      <x:c r="D306" s="10" t="n">
        <x:f>Solactive_GBS!C162</x:f>
        <x:v>0.009272719080659408</x:v>
      </x:c>
      <x:c r="E306" s="12" t="n">
        <x:f>Sources!I306</x:f>
        <x:v>108.5</x:v>
      </x:c>
      <x:c r="F306" s="10" t="n">
        <x:f>E306/E305-1</x:f>
        <x:v>0.0009225092250921829</x:v>
      </x:c>
      <x:c r="G306" s="10" t="n">
        <x:f>(1+D306)/(1+F306)-1</x:f>
        <x:v>0.008342513809617369</x:v>
      </x:c>
    </x:row>
    <x:row r="307">
      <x:c r="A307" s="6" t="n">
        <x:v>43769</x:v>
      </x:c>
      <x:c r="B307" t="str">
        <x:f>IF(A307&lt;=DATE(2006,5,31),"MSCI ACWI GBP Net Return",IF(A307&lt;=DATE(2024,2,29),"Solactive GBS Global Markets L&amp;M GBP NTR","PACW actual grossed up by OCF"))</x:f>
        <x:v>Solactive GBS Global Markets L&amp;M GBP NTR</x:v>
      </x:c>
      <x:c r="C307" s="8" t="n">
        <x:f>Solactive_GBS!B163</x:f>
        <x:v>1223.9468774223878</x:v>
      </x:c>
      <x:c r="D307" s="10" t="n">
        <x:f>Solactive_GBS!C163</x:f>
        <x:v>-0.02161186643753099</x:v>
      </x:c>
      <x:c r="E307" s="12" t="n">
        <x:f>Sources!I307</x:f>
        <x:v>108.3</x:v>
      </x:c>
      <x:c r="F307" s="10" t="n">
        <x:f>E307/E306-1</x:f>
        <x:v>-0.0018433179723502668</x:v>
      </x:c>
      <x:c r="G307" s="10" t="n">
        <x:f>(1+D307)/(1+F307)-1</x:f>
        <x:v>-0.0198050554798902</x:v>
      </x:c>
    </x:row>
    <x:row r="308">
      <x:c r="A308" s="6" t="n">
        <x:v>43799</x:v>
      </x:c>
      <x:c r="B308" t="str">
        <x:f>IF(A308&lt;=DATE(2006,5,31),"MSCI ACWI GBP Net Return",IF(A308&lt;=DATE(2024,2,29),"Solactive GBS Global Markets L&amp;M GBP NTR","PACW actual grossed up by OCF"))</x:f>
        <x:v>Solactive GBS Global Markets L&amp;M GBP NTR</x:v>
      </x:c>
      <x:c r="C308" s="8" t="n">
        <x:f>Solactive_GBS!B164</x:f>
        <x:v>1253.915290695103</x:v>
      </x:c>
      <x:c r="D308" s="10" t="n">
        <x:f>Solactive_GBS!C164</x:f>
        <x:v>0.02448506044300558</x:v>
      </x:c>
      <x:c r="E308" s="12" t="n">
        <x:f>Sources!I308</x:f>
        <x:v>108.5</x:v>
      </x:c>
      <x:c r="F308" s="10" t="n">
        <x:f>E308/E307-1</x:f>
        <x:v>0.001846722068328699</x:v>
      </x:c>
      <x:c r="G308" s="10" t="n">
        <x:f>(1+D308)/(1+F308)-1</x:f>
        <x:v>0.022596608718686628</x:v>
      </x:c>
    </x:row>
    <x:row r="309">
      <x:c r="A309" s="6" t="n">
        <x:v>43830</x:v>
      </x:c>
      <x:c r="B309" t="str">
        <x:f>IF(A309&lt;=DATE(2006,5,31),"MSCI ACWI GBP Net Return",IF(A309&lt;=DATE(2024,2,29),"Solactive GBS Global Markets L&amp;M GBP NTR","PACW actual grossed up by OCF"))</x:f>
        <x:v>Solactive GBS Global Markets L&amp;M GBP NTR</x:v>
      </x:c>
      <x:c r="C309" s="8" t="n">
        <x:f>Solactive_GBS!B165</x:f>
        <x:v>1267.352413325615</x:v>
      </x:c>
      <x:c r="D309" s="10" t="n">
        <x:f>Solactive_GBS!C165</x:f>
        <x:v>0.010716132684739144</x:v>
      </x:c>
      <x:c r="E309" s="12" t="n">
        <x:f>Sources!I309</x:f>
        <x:v>108.5</x:v>
      </x:c>
      <x:c r="F309" s="10" t="n">
        <x:f>E309/E308-1</x:f>
        <x:v>0</x:v>
      </x:c>
      <x:c r="G309" s="10" t="n">
        <x:f>(1+D309)/(1+F309)-1</x:f>
        <x:v>0.010716132684739144</x:v>
      </x:c>
    </x:row>
    <x:row r="310">
      <x:c r="A310" s="6" t="n">
        <x:v>43861</x:v>
      </x:c>
      <x:c r="B310" t="str">
        <x:f>IF(A310&lt;=DATE(2006,5,31),"MSCI ACWI GBP Net Return",IF(A310&lt;=DATE(2024,2,29),"Solactive GBS Global Markets L&amp;M GBP NTR","PACW actual grossed up by OCF"))</x:f>
        <x:v>Solactive GBS Global Markets L&amp;M GBP NTR</x:v>
      </x:c>
      <x:c r="C310" s="8" t="n">
        <x:f>Solactive_GBS!B166</x:f>
        <x:v>1259.104717597952</x:v>
      </x:c>
      <x:c r="D310" s="10" t="n">
        <x:f>Solactive_GBS!C166</x:f>
        <x:v>-0.006507815538079553</x:v>
      </x:c>
      <x:c r="E310" s="12" t="n">
        <x:f>Sources!I310</x:f>
        <x:v>108.2</x:v>
      </x:c>
      <x:c r="F310" s="10" t="n">
        <x:f>E310/E309-1</x:f>
        <x:v>-0.0027649769585252892</x:v>
      </x:c>
      <x:c r="G310" s="10" t="n">
        <x:f>(1+D310)/(1+F310)-1</x:f>
        <x:v>-0.0037532161356897964</x:v>
      </x:c>
    </x:row>
    <x:row r="311">
      <x:c r="A311" s="6" t="n">
        <x:v>43890</x:v>
      </x:c>
      <x:c r="B311" t="str">
        <x:f>IF(A311&lt;=DATE(2006,5,31),"MSCI ACWI GBP Net Return",IF(A311&lt;=DATE(2024,2,29),"Solactive GBS Global Markets L&amp;M GBP NTR","PACW actual grossed up by OCF"))</x:f>
        <x:v>Solactive GBS Global Markets L&amp;M GBP NTR</x:v>
      </x:c>
      <x:c r="C311" s="8" t="n">
        <x:f>Solactive_GBS!B167</x:f>
        <x:v>1194.3494224140568</x:v>
      </x:c>
      <x:c r="D311" s="10" t="n">
        <x:f>Solactive_GBS!C167</x:f>
        <x:v>-0.05142963430987035</x:v>
      </x:c>
      <x:c r="E311" s="12" t="n">
        <x:f>Sources!I311</x:f>
        <x:v>108.6</x:v>
      </x:c>
      <x:c r="F311" s="10" t="n">
        <x:f>E311/E310-1</x:f>
        <x:v>0.003696857670979492</x:v>
      </x:c>
      <x:c r="G311" s="10" t="n">
        <x:f>(1+D311)/(1+F311)-1</x:f>
        <x:v>-0.05492344781149128</x:v>
      </x:c>
    </x:row>
    <x:row r="312">
      <x:c r="A312" s="6" t="n">
        <x:v>43921</x:v>
      </x:c>
      <x:c r="B312" t="str">
        <x:f>IF(A312&lt;=DATE(2006,5,31),"MSCI ACWI GBP Net Return",IF(A312&lt;=DATE(2024,2,29),"Solactive GBS Global Markets L&amp;M GBP NTR","PACW actual grossed up by OCF"))</x:f>
        <x:v>Solactive GBS Global Markets L&amp;M GBP NTR</x:v>
      </x:c>
      <x:c r="C312" s="8" t="n">
        <x:f>Solactive_GBS!B168</x:f>
        <x:v>1065.388716416668</x:v>
      </x:c>
      <x:c r="D312" s="10" t="n">
        <x:f>Solactive_GBS!C168</x:f>
        <x:v>-0.10797569252114614</x:v>
      </x:c>
      <x:c r="E312" s="12" t="n">
        <x:f>Sources!I312</x:f>
        <x:v>108.6</x:v>
      </x:c>
      <x:c r="F312" s="10" t="n">
        <x:f>E312/E311-1</x:f>
        <x:v>0</x:v>
      </x:c>
      <x:c r="G312" s="10" t="n">
        <x:f>(1+D312)/(1+F312)-1</x:f>
        <x:v>-0.10797569252114614</x:v>
      </x:c>
    </x:row>
    <x:row r="313">
      <x:c r="A313" s="6" t="n">
        <x:v>43951</x:v>
      </x:c>
      <x:c r="B313" t="str">
        <x:f>IF(A313&lt;=DATE(2006,5,31),"MSCI ACWI GBP Net Return",IF(A313&lt;=DATE(2024,2,29),"Solactive GBS Global Markets L&amp;M GBP NTR","PACW actual grossed up by OCF"))</x:f>
        <x:v>Solactive GBS Global Markets L&amp;M GBP NTR</x:v>
      </x:c>
      <x:c r="C313" s="8" t="n">
        <x:f>Solactive_GBS!B169</x:f>
        <x:v>1158.4827157547825</x:v>
      </x:c>
      <x:c r="D313" s="10" t="n">
        <x:f>Solactive_GBS!C169</x:f>
        <x:v>0.08738031284133263</x:v>
      </x:c>
      <x:c r="E313" s="12" t="n">
        <x:f>Sources!I313</x:f>
        <x:v>108.5</x:v>
      </x:c>
      <x:c r="F313" s="10" t="n">
        <x:f>E313/E312-1</x:f>
        <x:v>-0.0009208103130754486</x:v>
      </x:c>
      <x:c r="G313" s="10" t="n">
        <x:f>(1+D313)/(1+F313)-1</x:f>
        <x:v>0.08838250667805259</x:v>
      </x:c>
    </x:row>
    <x:row r="314">
      <x:c r="A314" s="6" t="n">
        <x:v>43982</x:v>
      </x:c>
      <x:c r="B314" t="str">
        <x:f>IF(A314&lt;=DATE(2006,5,31),"MSCI ACWI GBP Net Return",IF(A314&lt;=DATE(2024,2,29),"Solactive GBS Global Markets L&amp;M GBP NTR","PACW actual grossed up by OCF"))</x:f>
        <x:v>Solactive GBS Global Markets L&amp;M GBP NTR</x:v>
      </x:c>
      <x:c r="C314" s="8" t="n">
        <x:f>Solactive_GBS!B170</x:f>
        <x:v>1233.050455351443</x:v>
      </x:c>
      <x:c r="D314" s="10" t="n">
        <x:f>Solactive_GBS!C170</x:f>
        <x:v>0.0643667260482843</x:v>
      </x:c>
      <x:c r="E314" s="12" t="n">
        <x:f>Sources!I314</x:f>
        <x:v>108.5</x:v>
      </x:c>
      <x:c r="F314" s="10" t="n">
        <x:f>E314/E313-1</x:f>
        <x:v>0</x:v>
      </x:c>
      <x:c r="G314" s="10" t="n">
        <x:f>(1+D314)/(1+F314)-1</x:f>
        <x:v>0.0643667260482843</x:v>
      </x:c>
    </x:row>
    <x:row r="315">
      <x:c r="A315" s="6" t="n">
        <x:v>44012</x:v>
      </x:c>
      <x:c r="B315" t="str">
        <x:f>IF(A315&lt;=DATE(2006,5,31),"MSCI ACWI GBP Net Return",IF(A315&lt;=DATE(2024,2,29),"Solactive GBS Global Markets L&amp;M GBP NTR","PACW actual grossed up by OCF"))</x:f>
        <x:v>Solactive GBS Global Markets L&amp;M GBP NTR</x:v>
      </x:c>
      <x:c r="C315" s="8" t="n">
        <x:f>Solactive_GBS!B171</x:f>
        <x:v>1273.2410196300007</x:v>
      </x:c>
      <x:c r="D315" s="10" t="n">
        <x:f>Solactive_GBS!C171</x:f>
        <x:v>0.032594419882925774</x:v>
      </x:c>
      <x:c r="E315" s="12" t="n">
        <x:f>Sources!I315</x:f>
        <x:v>108.6</x:v>
      </x:c>
      <x:c r="F315" s="10" t="n">
        <x:f>E315/E314-1</x:f>
        <x:v>0.0009216589861751334</x:v>
      </x:c>
      <x:c r="G315" s="10" t="n">
        <x:f>(1+D315)/(1+F315)-1</x:f>
        <x:v>0.0316435962918733</x:v>
      </x:c>
    </x:row>
    <x:row r="316">
      <x:c r="A316" s="6" t="n">
        <x:v>44043</x:v>
      </x:c>
      <x:c r="B316" t="str">
        <x:f>IF(A316&lt;=DATE(2006,5,31),"MSCI ACWI GBP Net Return",IF(A316&lt;=DATE(2024,2,29),"Solactive GBS Global Markets L&amp;M GBP NTR","PACW actual grossed up by OCF"))</x:f>
        <x:v>Solactive GBS Global Markets L&amp;M GBP NTR</x:v>
      </x:c>
      <x:c r="C316" s="8" t="n">
        <x:f>Solactive_GBS!B172</x:f>
        <x:v>1260.682572335405</x:v>
      </x:c>
      <x:c r="D316" s="10" t="n">
        <x:f>Solactive_GBS!C172</x:f>
        <x:v>-0.009863370014771555</x:v>
      </x:c>
      <x:c r="E316" s="12" t="n">
        <x:f>Sources!I316</x:f>
        <x:v>109.1</x:v>
      </x:c>
      <x:c r="F316" s="10" t="n">
        <x:f>E316/E315-1</x:f>
        <x:v>0.004604051565377576</x:v>
      </x:c>
      <x:c r="G316" s="10" t="n">
        <x:f>(1+D316)/(1+F316)-1</x:f>
        <x:v>-0.014401118089864329</x:v>
      </x:c>
    </x:row>
    <x:row r="317">
      <x:c r="A317" s="6" t="n">
        <x:v>44074</x:v>
      </x:c>
      <x:c r="B317" t="str">
        <x:f>IF(A317&lt;=DATE(2006,5,31),"MSCI ACWI GBP Net Return",IF(A317&lt;=DATE(2024,2,29),"Solactive GBS Global Markets L&amp;M GBP NTR","PACW actual grossed up by OCF"))</x:f>
        <x:v>Solactive GBS Global Markets L&amp;M GBP NTR</x:v>
      </x:c>
      <x:c r="C317" s="8" t="n">
        <x:f>Solactive_GBS!B173</x:f>
        <x:v>1312.7096113724974</x:v>
      </x:c>
      <x:c r="D317" s="10" t="n">
        <x:f>Solactive_GBS!C173</x:f>
        <x:v>0.04126894444230533</x:v>
      </x:c>
      <x:c r="E317" s="12" t="n">
        <x:f>Sources!I317</x:f>
        <x:v>108.6</x:v>
      </x:c>
      <x:c r="F317" s="10" t="n">
        <x:f>E317/E316-1</x:f>
        <x:v>-0.004582951420714965</x:v>
      </x:c>
      <x:c r="G317" s="10" t="n">
        <x:f>(1+D317)/(1+F317)-1</x:f>
        <x:v>0.046063000355943906</x:v>
      </x:c>
    </x:row>
    <x:row r="318">
      <x:c r="A318" s="6" t="n">
        <x:v>44104</x:v>
      </x:c>
      <x:c r="B318" t="str">
        <x:f>IF(A318&lt;=DATE(2006,5,31),"MSCI ACWI GBP Net Return",IF(A318&lt;=DATE(2024,2,29),"Solactive GBS Global Markets L&amp;M GBP NTR","PACW actual grossed up by OCF"))</x:f>
        <x:v>Solactive GBS Global Markets L&amp;M GBP NTR</x:v>
      </x:c>
      <x:c r="C318" s="8" t="n">
        <x:f>Solactive_GBS!B174</x:f>
        <x:v>1314.8971824584796</x:v>
      </x:c>
      <x:c r="D318" s="10" t="n">
        <x:f>Solactive_GBS!C174</x:f>
        <x:v>0.0016664546880973408</x:v>
      </x:c>
      <x:c r="E318" s="12" t="n">
        <x:f>Sources!I318</x:f>
        <x:v>109.1</x:v>
      </x:c>
      <x:c r="F318" s="10" t="n">
        <x:f>E318/E317-1</x:f>
        <x:v>0.004604051565377576</x:v>
      </x:c>
      <x:c r="G318" s="10" t="n">
        <x:f>(1+D318)/(1+F318)-1</x:f>
        <x:v>-0.002924134013498003</x:v>
      </x:c>
    </x:row>
    <x:row r="319">
      <x:c r="A319" s="6" t="n">
        <x:v>44135</x:v>
      </x:c>
      <x:c r="B319" t="str">
        <x:f>IF(A319&lt;=DATE(2006,5,31),"MSCI ACWI GBP Net Return",IF(A319&lt;=DATE(2024,2,29),"Solactive GBS Global Markets L&amp;M GBP NTR","PACW actual grossed up by OCF"))</x:f>
        <x:v>Solactive GBS Global Markets L&amp;M GBP NTR</x:v>
      </x:c>
      <x:c r="C319" s="8" t="n">
        <x:f>Solactive_GBS!B175</x:f>
        <x:v>1281.3399901548928</x:v>
      </x:c>
      <x:c r="D319" s="10" t="n">
        <x:f>Solactive_GBS!C175</x:f>
        <x:v>-0.025520772841603145</x:v>
      </x:c>
      <x:c r="E319" s="12" t="n">
        <x:f>Sources!I319</x:f>
        <x:v>109.1</x:v>
      </x:c>
      <x:c r="F319" s="10" t="n">
        <x:f>E319/E318-1</x:f>
        <x:v>0</x:v>
      </x:c>
      <x:c r="G319" s="10" t="n">
        <x:f>(1+D319)/(1+F319)-1</x:f>
        <x:v>-0.025520772841603145</x:v>
      </x:c>
    </x:row>
    <x:row r="320">
      <x:c r="A320" s="6" t="n">
        <x:v>44165</x:v>
      </x:c>
      <x:c r="B320" t="str">
        <x:f>IF(A320&lt;=DATE(2006,5,31),"MSCI ACWI GBP Net Return",IF(A320&lt;=DATE(2024,2,29),"Solactive GBS Global Markets L&amp;M GBP NTR","PACW actual grossed up by OCF"))</x:f>
        <x:v>Solactive GBS Global Markets L&amp;M GBP NTR</x:v>
      </x:c>
      <x:c r="C320" s="8" t="n">
        <x:f>Solactive_GBS!B176</x:f>
        <x:v>1394.0286774152928</x:v>
      </x:c>
      <x:c r="D320" s="10" t="n">
        <x:f>Solactive_GBS!C176</x:f>
        <x:v>0.08794596916215647</x:v>
      </x:c>
      <x:c r="E320" s="12" t="n">
        <x:f>Sources!I320</x:f>
        <x:v>108.9</x:v>
      </x:c>
      <x:c r="F320" s="10" t="n">
        <x:f>E320/E319-1</x:f>
        <x:v>-0.0018331805682858526</x:v>
      </x:c>
      <x:c r="G320" s="10" t="n">
        <x:f>(1+D320)/(1+F320)-1</x:f>
        <x:v>0.08994403338467638</x:v>
      </x:c>
    </x:row>
    <x:row r="321">
      <x:c r="A321" s="6" t="n">
        <x:v>44196</x:v>
      </x:c>
      <x:c r="B321" t="str">
        <x:f>IF(A321&lt;=DATE(2006,5,31),"MSCI ACWI GBP Net Return",IF(A321&lt;=DATE(2024,2,29),"Solactive GBS Global Markets L&amp;M GBP NTR","PACW actual grossed up by OCF"))</x:f>
        <x:v>Solactive GBS Global Markets L&amp;M GBP NTR</x:v>
      </x:c>
      <x:c r="C321" s="8" t="n">
        <x:f>Solactive_GBS!B177</x:f>
        <x:v>1423.0289522990843</x:v>
      </x:c>
      <x:c r="D321" s="10" t="n">
        <x:f>Solactive_GBS!C177</x:f>
        <x:v>0.020803212554824757</x:v>
      </x:c>
      <x:c r="E321" s="12" t="n">
        <x:f>Sources!I321</x:f>
        <x:v>109.2</x:v>
      </x:c>
      <x:c r="F321" s="10" t="n">
        <x:f>E321/E320-1</x:f>
        <x:v>0.0027548209366390353</x:v>
      </x:c>
      <x:c r="G321" s="10" t="n">
        <x:f>(1+D321)/(1+F321)-1</x:f>
        <x:v>0.017998808124729093</x:v>
      </x:c>
    </x:row>
    <x:row r="322">
      <x:c r="A322" s="6" t="n">
        <x:v>44227</x:v>
      </x:c>
      <x:c r="B322" t="str">
        <x:f>IF(A322&lt;=DATE(2006,5,31),"MSCI ACWI GBP Net Return",IF(A322&lt;=DATE(2024,2,29),"Solactive GBS Global Markets L&amp;M GBP NTR","PACW actual grossed up by OCF"))</x:f>
        <x:v>Solactive GBS Global Markets L&amp;M GBP NTR</x:v>
      </x:c>
      <x:c r="C322" s="8" t="n">
        <x:f>Solactive_GBS!B178</x:f>
        <x:v>1410.947451344412</x:v>
      </x:c>
      <x:c r="D322" s="10" t="n">
        <x:f>Solactive_GBS!C178</x:f>
        <x:v>-0.008489989564269274</x:v>
      </x:c>
      <x:c r="E322" s="12" t="n">
        <x:f>Sources!I322</x:f>
        <x:v>109</x:v>
      </x:c>
      <x:c r="F322" s="10" t="n">
        <x:f>E322/E321-1</x:f>
        <x:v>-0.001831501831501825</x:v>
      </x:c>
      <x:c r="G322" s="10" t="n">
        <x:f>(1+D322)/(1+F322)-1</x:f>
        <x:v>-0.006670705141451405</x:v>
      </x:c>
    </x:row>
    <x:row r="323">
      <x:c r="A323" s="6" t="n">
        <x:v>44255</x:v>
      </x:c>
      <x:c r="B323" t="str">
        <x:f>IF(A323&lt;=DATE(2006,5,31),"MSCI ACWI GBP Net Return",IF(A323&lt;=DATE(2024,2,29),"Solactive GBS Global Markets L&amp;M GBP NTR","PACW actual grossed up by OCF"))</x:f>
        <x:v>Solactive GBS Global Markets L&amp;M GBP NTR</x:v>
      </x:c>
      <x:c r="C323" s="8" t="n">
        <x:f>Solactive_GBS!B179</x:f>
        <x:v>1417.4833826692911</x:v>
      </x:c>
      <x:c r="D323" s="10" t="n">
        <x:f>Solactive_GBS!C179</x:f>
        <x:v>0.004632299607367774</x:v>
      </x:c>
      <x:c r="E323" s="12" t="n">
        <x:f>Sources!I323</x:f>
        <x:v>109.1</x:v>
      </x:c>
      <x:c r="F323" s="10" t="n">
        <x:f>E323/E322-1</x:f>
        <x:v>0.0009174311926605228</x:v>
      </x:c>
      <x:c r="G323" s="10" t="n">
        <x:f>(1+D323)/(1+F323)-1</x:f>
        <x:v>0.0037114634024113524</x:v>
      </x:c>
    </x:row>
    <x:row r="324">
      <x:c r="A324" s="6" t="n">
        <x:v>44286</x:v>
      </x:c>
      <x:c r="B324" t="str">
        <x:f>IF(A324&lt;=DATE(2006,5,31),"MSCI ACWI GBP Net Return",IF(A324&lt;=DATE(2024,2,29),"Solactive GBS Global Markets L&amp;M GBP NTR","PACW actual grossed up by OCF"))</x:f>
        <x:v>Solactive GBS Global Markets L&amp;M GBP NTR</x:v>
      </x:c>
      <x:c r="C324" s="8" t="n">
        <x:f>Solactive_GBS!B180</x:f>
        <x:v>1475.7403552002725</x:v>
      </x:c>
      <x:c r="D324" s="10" t="n">
        <x:f>Solactive_GBS!C180</x:f>
        <x:v>0.04109887512139743</x:v>
      </x:c>
      <x:c r="E324" s="12" t="n">
        <x:f>Sources!I324</x:f>
        <x:v>109.4</x:v>
      </x:c>
      <x:c r="F324" s="10" t="n">
        <x:f>E324/E323-1</x:f>
        <x:v>0.002749770852429112</x:v>
      </x:c>
      <x:c r="G324" s="10" t="n">
        <x:f>(1+D324)/(1+F324)-1</x:f>
        <x:v>0.03824394219144822</x:v>
      </x:c>
    </x:row>
    <x:row r="325">
      <x:c r="A325" s="6" t="n">
        <x:v>44316</x:v>
      </x:c>
      <x:c r="B325" t="str">
        <x:f>IF(A325&lt;=DATE(2006,5,31),"MSCI ACWI GBP Net Return",IF(A325&lt;=DATE(2024,2,29),"Solactive GBS Global Markets L&amp;M GBP NTR","PACW actual grossed up by OCF"))</x:f>
        <x:v>Solactive GBS Global Markets L&amp;M GBP NTR</x:v>
      </x:c>
      <x:c r="C325" s="8" t="n">
        <x:f>Solactive_GBS!B181</x:f>
        <x:v>1534.3209902415</x:v>
      </x:c>
      <x:c r="D325" s="10" t="n">
        <x:f>Solactive_GBS!C181</x:f>
        <x:v>0.0396957600534531</x:v>
      </x:c>
      <x:c r="E325" s="12" t="n">
        <x:f>Sources!I325</x:f>
        <x:v>110.1</x:v>
      </x:c>
      <x:c r="F325" s="10" t="n">
        <x:f>E325/E324-1</x:f>
        <x:v>0.006398537477148025</x:v>
      </x:c>
      <x:c r="G325" s="10" t="n">
        <x:f>(1+D325)/(1+F325)-1</x:f>
        <x:v>0.033085523613513024</x:v>
      </x:c>
    </x:row>
    <x:row r="326">
      <x:c r="A326" s="6" t="n">
        <x:v>44347</x:v>
      </x:c>
      <x:c r="B326" t="str">
        <x:f>IF(A326&lt;=DATE(2006,5,31),"MSCI ACWI GBP Net Return",IF(A326&lt;=DATE(2024,2,29),"Solactive GBS Global Markets L&amp;M GBP NTR","PACW actual grossed up by OCF"))</x:f>
        <x:v>Solactive GBS Global Markets L&amp;M GBP NTR</x:v>
      </x:c>
      <x:c r="C326" s="8" t="n">
        <x:f>Solactive_GBS!B182</x:f>
        <x:v>1518.007943862368</x:v>
      </x:c>
      <x:c r="D326" s="10" t="n">
        <x:f>Solactive_GBS!C182</x:f>
        <x:v>-0.010632094902491396</x:v>
      </x:c>
      <x:c r="E326" s="12" t="n">
        <x:f>Sources!I326</x:f>
        <x:v>110.8</x:v>
      </x:c>
      <x:c r="F326" s="10" t="n">
        <x:f>E326/E325-1</x:f>
        <x:v>0.006357856494096259</x:v>
      </x:c>
      <x:c r="G326" s="10" t="n">
        <x:f>(1+D326)/(1+F326)-1</x:f>
        <x:v>-0.016882614158522546</x:v>
      </x:c>
    </x:row>
    <x:row r="327">
      <x:c r="A327" s="6" t="n">
        <x:v>44377</x:v>
      </x:c>
      <x:c r="B327" t="str">
        <x:f>IF(A327&lt;=DATE(2006,5,31),"MSCI ACWI GBP Net Return",IF(A327&lt;=DATE(2024,2,29),"Solactive GBS Global Markets L&amp;M GBP NTR","PACW actual grossed up by OCF"))</x:f>
        <x:v>Solactive GBS Global Markets L&amp;M GBP NTR</x:v>
      </x:c>
      <x:c r="C327" s="8" t="n">
        <x:f>Solactive_GBS!B183</x:f>
        <x:v>1582.9153832192142</x:v>
      </x:c>
      <x:c r="D327" s="10" t="n">
        <x:f>Solactive_GBS!C183</x:f>
        <x:v>0.042758300191564125</x:v>
      </x:c>
      <x:c r="E327" s="12" t="n">
        <x:f>Sources!I327</x:f>
        <x:v>111.3</x:v>
      </x:c>
      <x:c r="F327" s="10" t="n">
        <x:f>E327/E326-1</x:f>
        <x:v>0.004512635379061436</x:v>
      </x:c>
      <x:c r="G327" s="10" t="n">
        <x:f>(1+D327)/(1+F327)-1</x:f>
        <x:v>0.03807385140364139</x:v>
      </x:c>
    </x:row>
    <x:row r="328">
      <x:c r="A328" s="6" t="n">
        <x:v>44408</x:v>
      </x:c>
      <x:c r="B328" t="str">
        <x:f>IF(A328&lt;=DATE(2006,5,31),"MSCI ACWI GBP Net Return",IF(A328&lt;=DATE(2024,2,29),"Solactive GBS Global Markets L&amp;M GBP NTR","PACW actual grossed up by OCF"))</x:f>
        <x:v>Solactive GBS Global Markets L&amp;M GBP NTR</x:v>
      </x:c>
      <x:c r="C328" s="8" t="n">
        <x:f>Solactive_GBS!B184</x:f>
        <x:v>1582.8395960469197</x:v>
      </x:c>
      <x:c r="D328" s="10" t="n">
        <x:f>Solactive_GBS!C184</x:f>
        <x:v>-0.00004787822084351134</x:v>
      </x:c>
      <x:c r="E328" s="12" t="n">
        <x:f>Sources!I328</x:f>
        <x:v>111.3</x:v>
      </x:c>
      <x:c r="F328" s="10" t="n">
        <x:f>E328/E327-1</x:f>
        <x:v>0</x:v>
      </x:c>
      <x:c r="G328" s="10" t="n">
        <x:f>(1+D328)/(1+F328)-1</x:f>
        <x:v>-0.00004787822084351134</x:v>
      </x:c>
    </x:row>
    <x:row r="329">
      <x:c r="A329" s="6" t="n">
        <x:v>44439</x:v>
      </x:c>
      <x:c r="B329" t="str">
        <x:f>IF(A329&lt;=DATE(2006,5,31),"MSCI ACWI GBP Net Return",IF(A329&lt;=DATE(2024,2,29),"Solactive GBS Global Markets L&amp;M GBP NTR","PACW actual grossed up by OCF"))</x:f>
        <x:v>Solactive GBS Global Markets L&amp;M GBP NTR</x:v>
      </x:c>
      <x:c r="C329" s="8" t="n">
        <x:f>Solactive_GBS!B185</x:f>
        <x:v>1639.132940038622</x:v>
      </x:c>
      <x:c r="D329" s="10" t="n">
        <x:f>Solactive_GBS!C185</x:f>
        <x:v>0.035564781252814814</x:v>
      </x:c>
      <x:c r="E329" s="12" t="n">
        <x:f>Sources!I329</x:f>
        <x:v>112.1</x:v>
      </x:c>
      <x:c r="F329" s="10" t="n">
        <x:f>E329/E328-1</x:f>
        <x:v>0.007187780772686336</x:v>
      </x:c>
      <x:c r="G329" s="10" t="n">
        <x:f>(1+D329)/(1+F329)-1</x:f>
        <x:v>0.028174488433883038</x:v>
      </x:c>
    </x:row>
    <x:row r="330">
      <x:c r="A330" s="6" t="n">
        <x:v>44469</x:v>
      </x:c>
      <x:c r="B330" t="str">
        <x:f>IF(A330&lt;=DATE(2006,5,31),"MSCI ACWI GBP Net Return",IF(A330&lt;=DATE(2024,2,29),"Solactive GBS Global Markets L&amp;M GBP NTR","PACW actual grossed up by OCF"))</x:f>
        <x:v>Solactive GBS Global Markets L&amp;M GBP NTR</x:v>
      </x:c>
      <x:c r="C330" s="8" t="n">
        <x:f>Solactive_GBS!B186</x:f>
        <x:v>1605.4788769133065</x:v>
      </x:c>
      <x:c r="D330" s="10" t="n">
        <x:f>Solactive_GBS!C186</x:f>
        <x:v>-0.020531625167951706</x:v>
      </x:c>
      <x:c r="E330" s="12" t="n">
        <x:f>Sources!I330</x:f>
        <x:v>112.4</x:v>
      </x:c>
      <x:c r="F330" s="10" t="n">
        <x:f>E330/E329-1</x:f>
        <x:v>0.00267618198037467</x:v>
      </x:c>
      <x:c r="G330" s="10" t="n">
        <x:f>(1+D330)/(1+F330)-1</x:f>
        <x:v>-0.023145864602556854</x:v>
      </x:c>
    </x:row>
    <x:row r="331">
      <x:c r="A331" s="6" t="n">
        <x:v>44500</x:v>
      </x:c>
      <x:c r="B331" t="str">
        <x:f>IF(A331&lt;=DATE(2006,5,31),"MSCI ACWI GBP Net Return",IF(A331&lt;=DATE(2024,2,29),"Solactive GBS Global Markets L&amp;M GBP NTR","PACW actual grossed up by OCF"))</x:f>
        <x:v>Solactive GBS Global Markets L&amp;M GBP NTR</x:v>
      </x:c>
      <x:c r="C331" s="8" t="n">
        <x:f>Solactive_GBS!B187</x:f>
        <x:v>1657.8466733115392</x:v>
      </x:c>
      <x:c r="D331" s="10" t="n">
        <x:f>Solactive_GBS!C187</x:f>
        <x:v>0.03261817838358305</x:v>
      </x:c>
      <x:c r="E331" s="12" t="n">
        <x:f>Sources!I331</x:f>
        <x:v>113.6</x:v>
      </x:c>
      <x:c r="F331" s="10" t="n">
        <x:f>E331/E330-1</x:f>
        <x:v>0.010676156583629748</x:v>
      </x:c>
      <x:c r="G331" s="10" t="n">
        <x:f>(1+D331)/(1+F331)-1</x:f>
        <x:v>0.021710239879531246</x:v>
      </x:c>
    </x:row>
    <x:row r="332">
      <x:c r="A332" s="6" t="n">
        <x:v>44530</x:v>
      </x:c>
      <x:c r="B332" t="str">
        <x:f>IF(A332&lt;=DATE(2006,5,31),"MSCI ACWI GBP Net Return",IF(A332&lt;=DATE(2024,2,29),"Solactive GBS Global Markets L&amp;M GBP NTR","PACW actual grossed up by OCF"))</x:f>
        <x:v>Solactive GBS Global Markets L&amp;M GBP NTR</x:v>
      </x:c>
      <x:c r="C332" s="8" t="n">
        <x:f>Solactive_GBS!B188</x:f>
        <x:v>1675.7028148979743</x:v>
      </x:c>
      <x:c r="D332" s="10" t="n">
        <x:f>Solactive_GBS!C188</x:f>
        <x:v>0.010770683365288303</x:v>
      </x:c>
      <x:c r="E332" s="12" t="n">
        <x:f>Sources!I332</x:f>
        <x:v>114.5</x:v>
      </x:c>
      <x:c r="F332" s="10" t="n">
        <x:f>E332/E331-1</x:f>
        <x:v>0.007922535211267734</x:v>
      </x:c>
      <x:c r="G332" s="10" t="n">
        <x:f>(1+D332)/(1+F332)-1</x:f>
        <x:v>0.002825760963290236</x:v>
      </x:c>
    </x:row>
    <x:row r="333">
      <x:c r="A333" s="6" t="n">
        <x:v>44561</x:v>
      </x:c>
      <x:c r="B333" t="str">
        <x:f>IF(A333&lt;=DATE(2006,5,31),"MSCI ACWI GBP Net Return",IF(A333&lt;=DATE(2024,2,29),"Solactive GBS Global Markets L&amp;M GBP NTR","PACW actual grossed up by OCF"))</x:f>
        <x:v>Solactive GBS Global Markets L&amp;M GBP NTR</x:v>
      </x:c>
      <x:c r="C333" s="8" t="n">
        <x:f>Solactive_GBS!B189</x:f>
        <x:v>1701.715479673976</x:v>
      </x:c>
      <x:c r="D333" s="10" t="n">
        <x:f>Solactive_GBS!C189</x:f>
        <x:v>0.015523435626373594</x:v>
      </x:c>
      <x:c r="E333" s="12" t="n">
        <x:f>Sources!I333</x:f>
        <x:v>115.1</x:v>
      </x:c>
      <x:c r="F333" s="10" t="n">
        <x:f>E333/E332-1</x:f>
        <x:v>0.005240174672489051</x:v>
      </x:c>
      <x:c r="G333" s="10" t="n">
        <x:f>(1+D333)/(1+F333)-1</x:f>
        <x:v>0.010229655770806145</x:v>
      </x:c>
    </x:row>
    <x:row r="334">
      <x:c r="A334" s="6" t="n">
        <x:v>44592</x:v>
      </x:c>
      <x:c r="B334" t="str">
        <x:f>IF(A334&lt;=DATE(2006,5,31),"MSCI ACWI GBP Net Return",IF(A334&lt;=DATE(2024,2,29),"Solactive GBS Global Markets L&amp;M GBP NTR","PACW actual grossed up by OCF"))</x:f>
        <x:v>Solactive GBS Global Markets L&amp;M GBP NTR</x:v>
      </x:c>
      <x:c r="C334" s="8" t="n">
        <x:f>Solactive_GBS!B190</x:f>
        <x:v>1635.5122506194166</x:v>
      </x:c>
      <x:c r="D334" s="10" t="n">
        <x:f>Solactive_GBS!C190</x:f>
        <x:v>-0.0389038178504687</x:v>
      </x:c>
      <x:c r="E334" s="12" t="n">
        <x:f>Sources!I334</x:f>
        <x:v>114.9</x:v>
      </x:c>
      <x:c r="F334" s="10" t="n">
        <x:f>E334/E333-1</x:f>
        <x:v>-0.0017376194613378804</x:v>
      </x:c>
      <x:c r="G334" s="10" t="n">
        <x:f>(1+D334)/(1+F334)-1</x:f>
        <x:v>-0.03723089151078296</x:v>
      </x:c>
    </x:row>
    <x:row r="335">
      <x:c r="A335" s="6" t="n">
        <x:v>44620</x:v>
      </x:c>
      <x:c r="B335" t="str">
        <x:f>IF(A335&lt;=DATE(2006,5,31),"MSCI ACWI GBP Net Return",IF(A335&lt;=DATE(2024,2,29),"Solactive GBS Global Markets L&amp;M GBP NTR","PACW actual grossed up by OCF"))</x:f>
        <x:v>Solactive GBS Global Markets L&amp;M GBP NTR</x:v>
      </x:c>
      <x:c r="C335" s="8" t="n">
        <x:f>Solactive_GBS!B191</x:f>
        <x:v>1591.7004270932912</x:v>
      </x:c>
      <x:c r="D335" s="10" t="n">
        <x:f>Solactive_GBS!C191</x:f>
        <x:v>-0.026787829629238535</x:v>
      </x:c>
      <x:c r="E335" s="12" t="n">
        <x:f>Sources!I335</x:f>
        <x:v>115.8</x:v>
      </x:c>
      <x:c r="F335" s="10" t="n">
        <x:f>E335/E334-1</x:f>
        <x:v>0.007832898172323688</x:v>
      </x:c>
      <x:c r="G335" s="10" t="n">
        <x:f>(1+D335)/(1+F335)-1</x:f>
        <x:v>-0.034351654787560415</x:v>
      </x:c>
    </x:row>
    <x:row r="336">
      <x:c r="A336" s="6" t="n">
        <x:v>44651</x:v>
      </x:c>
      <x:c r="B336" t="str">
        <x:f>IF(A336&lt;=DATE(2006,5,31),"MSCI ACWI GBP Net Return",IF(A336&lt;=DATE(2024,2,29),"Solactive GBS Global Markets L&amp;M GBP NTR","PACW actual grossed up by OCF"))</x:f>
        <x:v>Solactive GBS Global Markets L&amp;M GBP NTR</x:v>
      </x:c>
      <x:c r="C336" s="8" t="n">
        <x:f>Solactive_GBS!B192</x:f>
        <x:v>1656.2842039398893</x:v>
      </x:c>
      <x:c r="D336" s="10" t="n">
        <x:f>Solactive_GBS!C192</x:f>
        <x:v>0.04057533424460957</x:v>
      </x:c>
      <x:c r="E336" s="12" t="n">
        <x:f>Sources!I336</x:f>
        <x:v>117.1</x:v>
      </x:c>
      <x:c r="F336" s="10" t="n">
        <x:f>E336/E335-1</x:f>
        <x:v>0.011226252158894612</x:v>
      </x:c>
      <x:c r="G336" s="10" t="n">
        <x:f>(1+D336)/(1+F336)-1</x:f>
        <x:v>0.029023259654362032</x:v>
      </x:c>
    </x:row>
    <x:row r="337">
      <x:c r="A337" s="6" t="n">
        <x:v>44681</x:v>
      </x:c>
      <x:c r="B337" t="str">
        <x:f>IF(A337&lt;=DATE(2006,5,31),"MSCI ACWI GBP Net Return",IF(A337&lt;=DATE(2024,2,29),"Solactive GBS Global Markets L&amp;M GBP NTR","PACW actual grossed up by OCF"))</x:f>
        <x:v>Solactive GBS Global Markets L&amp;M GBP NTR</x:v>
      </x:c>
      <x:c r="C337" s="8" t="n">
        <x:f>Solactive_GBS!B193</x:f>
        <x:v>1598.8278402590786</x:v>
      </x:c>
      <x:c r="D337" s="10" t="n">
        <x:f>Solactive_GBS!C193</x:f>
        <x:v>-0.03468991827859991</x:v>
      </x:c>
      <x:c r="E337" s="12" t="n">
        <x:f>Sources!I337</x:f>
        <x:v>120</x:v>
      </x:c>
      <x:c r="F337" s="10" t="n">
        <x:f>E337/E336-1</x:f>
        <x:v>0.02476515798462864</x:v>
      </x:c>
      <x:c r="G337" s="10" t="n">
        <x:f>(1+D337)/(1+F337)-1</x:f>
        <x:v>-0.05801824525353383</x:v>
      </x:c>
    </x:row>
    <x:row r="338">
      <x:c r="A338" s="6" t="n">
        <x:v>44712</x:v>
      </x:c>
      <x:c r="B338" t="str">
        <x:f>IF(A338&lt;=DATE(2006,5,31),"MSCI ACWI GBP Net Return",IF(A338&lt;=DATE(2024,2,29),"Solactive GBS Global Markets L&amp;M GBP NTR","PACW actual grossed up by OCF"))</x:f>
        <x:v>Solactive GBS Global Markets L&amp;M GBP NTR</x:v>
      </x:c>
      <x:c r="C338" s="8" t="n">
        <x:f>Solactive_GBS!B194</x:f>
        <x:v>1594.082879479456</x:v>
      </x:c>
      <x:c r="D338" s="10" t="n">
        <x:f>Solactive_GBS!C194</x:f>
        <x:v>-0.0029677746785129466</x:v>
      </x:c>
      <x:c r="E338" s="12" t="n">
        <x:f>Sources!I338</x:f>
        <x:v>120.8</x:v>
      </x:c>
      <x:c r="F338" s="10" t="n">
        <x:f>E338/E337-1</x:f>
        <x:v>0.006666666666666599</x:v>
      </x:c>
      <x:c r="G338" s="10" t="n">
        <x:f>(1+D338)/(1+F338)-1</x:f>
        <x:v>-0.009570637097860435</x:v>
      </x:c>
    </x:row>
    <x:row r="339">
      <x:c r="A339" s="6" t="n">
        <x:v>44742</x:v>
      </x:c>
      <x:c r="B339" t="str">
        <x:f>IF(A339&lt;=DATE(2006,5,31),"MSCI ACWI GBP Net Return",IF(A339&lt;=DATE(2024,2,29),"Solactive GBS Global Markets L&amp;M GBP NTR","PACW actual grossed up by OCF"))</x:f>
        <x:v>Solactive GBS Global Markets L&amp;M GBP NTR</x:v>
      </x:c>
      <x:c r="C339" s="8" t="n">
        <x:f>Solactive_GBS!B195</x:f>
        <x:v>1515.8739366425189</x:v>
      </x:c>
      <x:c r="D339" s="10" t="n">
        <x:f>Solactive_GBS!C195</x:f>
        <x:v>-0.04906203049020652</x:v>
      </x:c>
      <x:c r="E339" s="12" t="n">
        <x:f>Sources!I339</x:f>
        <x:v>121.8</x:v>
      </x:c>
      <x:c r="F339" s="10" t="n">
        <x:f>E339/E338-1</x:f>
        <x:v>0.008278145695364225</x:v>
      </x:c>
      <x:c r="G339" s="10" t="n">
        <x:f>(1+D339)/(1+F339)-1</x:f>
        <x:v>-0.05686940298207677</x:v>
      </x:c>
    </x:row>
    <x:row r="340">
      <x:c r="A340" s="6" t="n">
        <x:v>44773</x:v>
      </x:c>
      <x:c r="B340" t="str">
        <x:f>IF(A340&lt;=DATE(2006,5,31),"MSCI ACWI GBP Net Return",IF(A340&lt;=DATE(2024,2,29),"Solactive GBS Global Markets L&amp;M GBP NTR","PACW actual grossed up by OCF"))</x:f>
        <x:v>Solactive GBS Global Markets L&amp;M GBP NTR</x:v>
      </x:c>
      <x:c r="C340" s="8" t="n">
        <x:f>Solactive_GBS!B196</x:f>
        <x:v>1616.455480671907</x:v>
      </x:c>
      <x:c r="D340" s="10" t="n">
        <x:f>Solactive_GBS!C196</x:f>
        <x:v>0.06635218245929098</x:v>
      </x:c>
      <x:c r="E340" s="12" t="n">
        <x:f>Sources!I340</x:f>
        <x:v>122.5</x:v>
      </x:c>
      <x:c r="F340" s="10" t="n">
        <x:f>E340/E339-1</x:f>
        <x:v>0.005747126436781658</x:v>
      </x:c>
      <x:c r="G340" s="10" t="n">
        <x:f>(1+D340)/(1+F340)-1</x:f>
        <x:v>0.06025874141666643</x:v>
      </x:c>
    </x:row>
    <x:row r="341">
      <x:c r="A341" s="6" t="n">
        <x:v>44804</x:v>
      </x:c>
      <x:c r="B341" t="str">
        <x:f>IF(A341&lt;=DATE(2006,5,31),"MSCI ACWI GBP Net Return",IF(A341&lt;=DATE(2024,2,29),"Solactive GBS Global Markets L&amp;M GBP NTR","PACW actual grossed up by OCF"))</x:f>
        <x:v>Solactive GBS Global Markets L&amp;M GBP NTR</x:v>
      </x:c>
      <x:c r="C341" s="8" t="n">
        <x:f>Solactive_GBS!B197</x:f>
        <x:v>1630.4430575011847</x:v>
      </x:c>
      <x:c r="D341" s="10" t="n">
        <x:f>Solactive_GBS!C197</x:f>
        <x:v>0.008653239756076347</x:v>
      </x:c>
      <x:c r="E341" s="12" t="n">
        <x:f>Sources!I341</x:f>
        <x:v>123.1</x:v>
      </x:c>
      <x:c r="F341" s="10" t="n">
        <x:f>E341/E340-1</x:f>
        <x:v>0.004897959183673528</x:v>
      </x:c>
      <x:c r="G341" s="10" t="n">
        <x:f>(1+D341)/(1+F341)-1</x:f>
        <x:v>0.003736977011530085</x:v>
      </x:c>
    </x:row>
    <x:row r="342">
      <x:c r="A342" s="6" t="n">
        <x:v>44834</x:v>
      </x:c>
      <x:c r="B342" t="str">
        <x:f>IF(A342&lt;=DATE(2006,5,31),"MSCI ACWI GBP Net Return",IF(A342&lt;=DATE(2024,2,29),"Solactive GBS Global Markets L&amp;M GBP NTR","PACW actual grossed up by OCF"))</x:f>
        <x:v>Solactive GBS Global Markets L&amp;M GBP NTR</x:v>
      </x:c>
      <x:c r="C342" s="8" t="n">
        <x:f>Solactive_GBS!B198</x:f>
        <x:v>1537.5029118211096</x:v>
      </x:c>
      <x:c r="D342" s="10" t="n">
        <x:f>Solactive_GBS!C198</x:f>
        <x:v>-0.0570030000449786</x:v>
      </x:c>
      <x:c r="E342" s="12" t="n">
        <x:f>Sources!I342</x:f>
        <x:v>123.8</x:v>
      </x:c>
      <x:c r="F342" s="10" t="n">
        <x:f>E342/E341-1</x:f>
        <x:v>0.005686433793663737</x:v>
      </x:c>
      <x:c r="G342" s="10" t="n">
        <x:f>(1+D342)/(1+F342)-1</x:f>
        <x:v>-0.06233497015780998</x:v>
      </x:c>
    </x:row>
    <x:row r="343">
      <x:c r="A343" s="6" t="n">
        <x:v>44865</x:v>
      </x:c>
      <x:c r="B343" t="str">
        <x:f>IF(A343&lt;=DATE(2006,5,31),"MSCI ACWI GBP Net Return",IF(A343&lt;=DATE(2024,2,29),"Solactive GBS Global Markets L&amp;M GBP NTR","PACW actual grossed up by OCF"))</x:f>
        <x:v>Solactive GBS Global Markets L&amp;M GBP NTR</x:v>
      </x:c>
      <x:c r="C343" s="8" t="n">
        <x:f>Solactive_GBS!B199</x:f>
        <x:v>1579.2946938000086</x:v>
      </x:c>
      <x:c r="D343" s="10" t="n">
        <x:f>Solactive_GBS!C199</x:f>
        <x:v>0.02718159533720721</x:v>
      </x:c>
      <x:c r="E343" s="12" t="n">
        <x:f>Sources!I343</x:f>
        <x:v>126.2</x:v>
      </x:c>
      <x:c r="F343" s="10" t="n">
        <x:f>E343/E342-1</x:f>
        <x:v>0.01938610662358653</x:v>
      </x:c>
      <x:c r="G343" s="10" t="n">
        <x:f>(1+D343)/(1+F343)-1</x:f>
        <x:v>0.007647238532062062</x:v>
      </x:c>
    </x:row>
    <x:row r="344">
      <x:c r="A344" s="6" t="n">
        <x:v>44895</x:v>
      </x:c>
      <x:c r="B344" t="str">
        <x:f>IF(A344&lt;=DATE(2006,5,31),"MSCI ACWI GBP Net Return",IF(A344&lt;=DATE(2024,2,29),"Solactive GBS Global Markets L&amp;M GBP NTR","PACW actual grossed up by OCF"))</x:f>
        <x:v>Solactive GBS Global Markets L&amp;M GBP NTR</x:v>
      </x:c>
      <x:c r="C344" s="8" t="n">
        <x:f>Solactive_GBS!B200</x:f>
        <x:v>1644.1451503205435</x:v>
      </x:c>
      <x:c r="D344" s="10" t="n">
        <x:f>Solactive_GBS!C200</x:f>
        <x:v>0.041062923072637814</x:v>
      </x:c>
      <x:c r="E344" s="12" t="n">
        <x:f>Sources!I344</x:f>
        <x:v>126.7</x:v>
      </x:c>
      <x:c r="F344" s="10" t="n">
        <x:f>E344/E343-1</x:f>
        <x:v>0.003961965134706924</x:v>
      </x:c>
      <x:c r="G344" s="10" t="n">
        <x:f>(1+D344)/(1+F344)-1</x:f>
        <x:v>0.03695454531781284</x:v>
      </x:c>
    </x:row>
    <x:row r="345">
      <x:c r="A345" s="6" t="n">
        <x:v>44926</x:v>
      </x:c>
      <x:c r="B345" t="str">
        <x:f>IF(A345&lt;=DATE(2006,5,31),"MSCI ACWI GBP Net Return",IF(A345&lt;=DATE(2024,2,29),"Solactive GBS Global Markets L&amp;M GBP NTR","PACW actual grossed up by OCF"))</x:f>
        <x:v>Solactive GBS Global Markets L&amp;M GBP NTR</x:v>
      </x:c>
      <x:c r="C345" s="8" t="n">
        <x:f>Solactive_GBS!B201</x:f>
        <x:v>1564.201649946297</x:v>
      </x:c>
      <x:c r="D345" s="10" t="n">
        <x:f>Solactive_GBS!C201</x:f>
        <x:v>-0.04862314033445325</x:v>
      </x:c>
      <x:c r="E345" s="12" t="n">
        <x:f>Sources!I345</x:f>
        <x:v>127.2</x:v>
      </x:c>
      <x:c r="F345" s="10" t="n">
        <x:f>E345/E344-1</x:f>
        <x:v>0.003946329913180779</x:v>
      </x:c>
      <x:c r="G345" s="10" t="n">
        <x:f>(1+D345)/(1+F345)-1</x:f>
        <x:v>-0.05236282924823299</x:v>
      </x:c>
    </x:row>
    <x:row r="346">
      <x:c r="A346" s="6" t="n">
        <x:v>44957</x:v>
      </x:c>
      <x:c r="B346" t="str">
        <x:f>IF(A346&lt;=DATE(2006,5,31),"MSCI ACWI GBP Net Return",IF(A346&lt;=DATE(2024,2,29),"Solactive GBS Global Markets L&amp;M GBP NTR","PACW actual grossed up by OCF"))</x:f>
        <x:v>Solactive GBS Global Markets L&amp;M GBP NTR</x:v>
      </x:c>
      <x:c r="C346" s="8" t="n">
        <x:f>Solactive_GBS!B202</x:f>
        <x:v>1636.4843778068835</x:v>
      </x:c>
      <x:c r="D346" s="10" t="n">
        <x:f>Solactive_GBS!C202</x:f>
        <x:v>0.04621061987952002</x:v>
      </x:c>
      <x:c r="E346" s="12" t="n">
        <x:f>Sources!I346</x:f>
        <x:v>126.4</x:v>
      </x:c>
      <x:c r="F346" s="10" t="n">
        <x:f>E346/E345-1</x:f>
        <x:v>-0.0062893081761006275</x:v>
      </x:c>
      <x:c r="G346" s="10" t="n">
        <x:f>(1+D346)/(1+F346)-1</x:f>
        <x:v>0.052832206081289135</x:v>
      </x:c>
    </x:row>
    <x:row r="347">
      <x:c r="A347" s="6" t="n">
        <x:v>44985</x:v>
      </x:c>
      <x:c r="B347" t="str">
        <x:f>IF(A347&lt;=DATE(2006,5,31),"MSCI ACWI GBP Net Return",IF(A347&lt;=DATE(2024,2,29),"Solactive GBS Global Markets L&amp;M GBP NTR","PACW actual grossed up by OCF"))</x:f>
        <x:v>Solactive GBS Global Markets L&amp;M GBP NTR</x:v>
      </x:c>
      <x:c r="C347" s="8" t="n">
        <x:f>Solactive_GBS!B203</x:f>
        <x:v>1616.2839623346108</x:v>
      </x:c>
      <x:c r="D347" s="10" t="n">
        <x:f>Solactive_GBS!C203</x:f>
        <x:v>-0.01234378754005827</x:v>
      </x:c>
      <x:c r="E347" s="12" t="n">
        <x:f>Sources!I347</x:f>
        <x:v>127.9</x:v>
      </x:c>
      <x:c r="F347" s="10" t="n">
        <x:f>E347/E346-1</x:f>
        <x:v>0.011867088607594889</x:v>
      </x:c>
      <x:c r="G347" s="10" t="n">
        <x:f>(1+D347)/(1+F347)-1</x:f>
        <x:v>-0.02392693311230143</x:v>
      </x:c>
    </x:row>
    <x:row r="348">
      <x:c r="A348" s="6" t="n">
        <x:v>45016</x:v>
      </x:c>
      <x:c r="B348" t="str">
        <x:f>IF(A348&lt;=DATE(2006,5,31),"MSCI ACWI GBP Net Return",IF(A348&lt;=DATE(2024,2,29),"Solactive GBS Global Markets L&amp;M GBP NTR","PACW actual grossed up by OCF"))</x:f>
        <x:v>Solactive GBS Global Markets L&amp;M GBP NTR</x:v>
      </x:c>
      <x:c r="C348" s="8" t="n">
        <x:f>Solactive_GBS!B204</x:f>
        <x:v>1632.882492723661</x:v>
      </x:c>
      <x:c r="D348" s="10" t="n">
        <x:f>Solactive_GBS!C204</x:f>
        <x:v>0.010269563254884151</x:v>
      </x:c>
      <x:c r="E348" s="12" t="n">
        <x:f>Sources!I348</x:f>
        <x:v>128.9</x:v>
      </x:c>
      <x:c r="F348" s="10" t="n">
        <x:f>E348/E347-1</x:f>
        <x:v>0.007818608287724738</x:v>
      </x:c>
      <x:c r="G348" s="10" t="n">
        <x:f>(1+D348)/(1+F348)-1</x:f>
        <x:v>0.002431940576413494</x:v>
      </x:c>
    </x:row>
    <x:row r="349">
      <x:c r="A349" s="6" t="n">
        <x:v>45046</x:v>
      </x:c>
      <x:c r="B349" t="str">
        <x:f>IF(A349&lt;=DATE(2006,5,31),"MSCI ACWI GBP Net Return",IF(A349&lt;=DATE(2024,2,29),"Solactive GBS Global Markets L&amp;M GBP NTR","PACW actual grossed up by OCF"))</x:f>
        <x:v>Solactive GBS Global Markets L&amp;M GBP NTR</x:v>
      </x:c>
      <x:c r="C349" s="8" t="n">
        <x:f>Solactive_GBS!B205</x:f>
        <x:v>1630.767289839794</x:v>
      </x:c>
      <x:c r="D349" s="10" t="n">
        <x:f>Solactive_GBS!C205</x:f>
        <x:v>-0.0012953797308088433</x:v>
      </x:c>
      <x:c r="E349" s="12" t="n">
        <x:f>Sources!I349</x:f>
        <x:v>130.4</x:v>
      </x:c>
      <x:c r="F349" s="10" t="n">
        <x:f>E349/E348-1</x:f>
        <x:v>0.011636927851047307</x:v>
      </x:c>
      <x:c r="G349" s="10" t="n">
        <x:f>(1+D349)/(1+F349)-1</x:f>
        <x:v>-0.012783546375009669</x:v>
      </x:c>
    </x:row>
    <x:row r="350">
      <x:c r="A350" s="6" t="n">
        <x:v>45077</x:v>
      </x:c>
      <x:c r="B350" t="str">
        <x:f>IF(A350&lt;=DATE(2006,5,31),"MSCI ACWI GBP Net Return",IF(A350&lt;=DATE(2024,2,29),"Solactive GBS Global Markets L&amp;M GBP NTR","PACW actual grossed up by OCF"))</x:f>
        <x:v>Solactive GBS Global Markets L&amp;M GBP NTR</x:v>
      </x:c>
      <x:c r="C350" s="8" t="n">
        <x:f>Solactive_GBS!B206</x:f>
        <x:v>1638.6377591910787</x:v>
      </x:c>
      <x:c r="D350" s="10" t="n">
        <x:f>Solactive_GBS!C206</x:f>
        <x:v>0.004826236950127738</x:v>
      </x:c>
      <x:c r="E350" s="12" t="n">
        <x:f>Sources!I350</x:f>
        <x:v>131.3</x:v>
      </x:c>
      <x:c r="F350" s="10" t="n">
        <x:f>E350/E349-1</x:f>
        <x:v>0.006901840490797673</x:v>
      </x:c>
      <x:c r="G350" s="10" t="n">
        <x:f>(1+D350)/(1+F350)-1</x:f>
        <x:v>-0.002061376250596769</x:v>
      </x:c>
    </x:row>
    <x:row r="351">
      <x:c r="A351" s="6" t="n">
        <x:v>45107</x:v>
      </x:c>
      <x:c r="B351" t="str">
        <x:f>IF(A351&lt;=DATE(2006,5,31),"MSCI ACWI GBP Net Return",IF(A351&lt;=DATE(2024,2,29),"Solactive GBS Global Markets L&amp;M GBP NTR","PACW actual grossed up by OCF"))</x:f>
        <x:v>Solactive GBS Global Markets L&amp;M GBP NTR</x:v>
      </x:c>
      <x:c r="C351" s="8" t="n">
        <x:f>Solactive_GBS!B207</x:f>
        <x:v>1688.8903527054445</x:v>
      </x:c>
      <x:c r="D351" s="10" t="n">
        <x:f>Solactive_GBS!C207</x:f>
        <x:v>0.030667298634185824</x:v>
      </x:c>
      <x:c r="E351" s="12" t="n">
        <x:f>Sources!I351</x:f>
        <x:v>131.5</x:v>
      </x:c>
      <x:c r="F351" s="10" t="n">
        <x:f>E351/E350-1</x:f>
        <x:v>0.0015232292460014563</x:v>
      </x:c>
      <x:c r="G351" s="10" t="n">
        <x:f>(1+D351)/(1+F351)-1</x:f>
        <x:v>0.029099743807365908</x:v>
      </x:c>
    </x:row>
    <x:row r="352">
      <x:c r="A352" s="6" t="n">
        <x:v>45138</x:v>
      </x:c>
      <x:c r="B352" t="str">
        <x:f>IF(A352&lt;=DATE(2006,5,31),"MSCI ACWI GBP Net Return",IF(A352&lt;=DATE(2024,2,29),"Solactive GBS Global Markets L&amp;M GBP NTR","PACW actual grossed up by OCF"))</x:f>
        <x:v>Solactive GBS Global Markets L&amp;M GBP NTR</x:v>
      </x:c>
      <x:c r="C352" s="8" t="n">
        <x:f>Solactive_GBS!B208</x:f>
        <x:v>1729.480936494906</x:v>
      </x:c>
      <x:c r="D352" s="10" t="n">
        <x:f>Solactive_GBS!C208</x:f>
        <x:v>0.0240338774654254</x:v>
      </x:c>
      <x:c r="E352" s="12" t="n">
        <x:f>Sources!I352</x:f>
        <x:v>130.9</x:v>
      </x:c>
      <x:c r="F352" s="10" t="n">
        <x:f>E352/E351-1</x:f>
        <x:v>-0.004562737642585524</x:v>
      </x:c>
      <x:c r="G352" s="10" t="n">
        <x:f>(1+D352)/(1+F352)-1</x:f>
        <x:v>0.028727692029820062</x:v>
      </x:c>
    </x:row>
    <x:row r="353">
      <x:c r="A353" s="6" t="n">
        <x:v>45169</x:v>
      </x:c>
      <x:c r="B353" t="str">
        <x:f>IF(A353&lt;=DATE(2006,5,31),"MSCI ACWI GBP Net Return",IF(A353&lt;=DATE(2024,2,29),"Solactive GBS Global Markets L&amp;M GBP NTR","PACW actual grossed up by OCF"))</x:f>
        <x:v>Solactive GBS Global Markets L&amp;M GBP NTR</x:v>
      </x:c>
      <x:c r="C353" s="8" t="n">
        <x:f>Solactive_GBS!B209</x:f>
        <x:v>1707.4707461413936</x:v>
      </x:c>
      <x:c r="D353" s="10" t="n">
        <x:f>Solactive_GBS!C209</x:f>
        <x:v>-0.012726471792236072</x:v>
      </x:c>
      <x:c r="E353" s="12" t="n">
        <x:f>Sources!I353</x:f>
        <x:v>131.3</x:v>
      </x:c>
      <x:c r="F353" s="10" t="n">
        <x:f>E353/E352-1</x:f>
        <x:v>0.0030557677616500634</x:v>
      </x:c>
      <x:c r="G353" s="10" t="n">
        <x:f>(1+D353)/(1+F353)-1</x:f>
        <x:v>-0.015734159616174415</x:v>
      </x:c>
    </x:row>
    <x:row r="354">
      <x:c r="A354" s="6" t="n">
        <x:v>45199</x:v>
      </x:c>
      <x:c r="B354" t="str">
        <x:f>IF(A354&lt;=DATE(2006,5,31),"MSCI ACWI GBP Net Return",IF(A354&lt;=DATE(2024,2,29),"Solactive GBS Global Markets L&amp;M GBP NTR","PACW actual grossed up by OCF"))</x:f>
        <x:v>Solactive GBS Global Markets L&amp;M GBP NTR</x:v>
      </x:c>
      <x:c r="C354" s="8" t="n">
        <x:f>Solactive_GBS!B210</x:f>
        <x:v>1700.9148708238054</x:v>
      </x:c>
      <x:c r="D354" s="10" t="n">
        <x:f>Solactive_GBS!C210</x:f>
        <x:v>-0.0038395242392312845</x:v>
      </x:c>
      <x:c r="E354" s="12" t="n">
        <x:f>Sources!I354</x:f>
        <x:v>132</x:v>
      </x:c>
      <x:c r="F354" s="10" t="n">
        <x:f>E354/E353-1</x:f>
        <x:v>0.005331302361005319</x:v>
      </x:c>
      <x:c r="G354" s="10" t="n">
        <x:f>(1+D354)/(1+F354)-1</x:f>
        <x:v>-0.009122193428871661</x:v>
      </x:c>
    </x:row>
    <x:row r="355">
      <x:c r="A355" s="6" t="n">
        <x:v>45230</x:v>
      </x:c>
      <x:c r="B355" t="str">
        <x:f>IF(A355&lt;=DATE(2006,5,31),"MSCI ACWI GBP Net Return",IF(A355&lt;=DATE(2024,2,29),"Solactive GBS Global Markets L&amp;M GBP NTR","PACW actual grossed up by OCF"))</x:f>
        <x:v>Solactive GBS Global Markets L&amp;M GBP NTR</x:v>
      </x:c>
      <x:c r="C355" s="8" t="n">
        <x:f>Solactive_GBS!B211</x:f>
        <x:v>1660.1333945327024</x:v>
      </x:c>
      <x:c r="D355" s="10" t="n">
        <x:f>Solactive_GBS!C211</x:f>
        <x:v>-0.023976200685076776</x:v>
      </x:c>
      <x:c r="E355" s="12" t="n">
        <x:f>Sources!I355</x:f>
        <x:v>132</x:v>
      </x:c>
      <x:c r="F355" s="10" t="n">
        <x:f>E355/E354-1</x:f>
        <x:v>0</x:v>
      </x:c>
      <x:c r="G355" s="10" t="n">
        <x:f>(1+D355)/(1+F355)-1</x:f>
        <x:v>-0.023976200685076776</x:v>
      </x:c>
    </x:row>
    <x:row r="356">
      <x:c r="A356" s="6" t="n">
        <x:v>45260</x:v>
      </x:c>
      <x:c r="B356" t="str">
        <x:f>IF(A356&lt;=DATE(2006,5,31),"MSCI ACWI GBP Net Return",IF(A356&lt;=DATE(2024,2,29),"Solactive GBS Global Markets L&amp;M GBP NTR","PACW actual grossed up by OCF"))</x:f>
        <x:v>Solactive GBS Global Markets L&amp;M GBP NTR</x:v>
      </x:c>
      <x:c r="C356" s="8" t="n">
        <x:f>Solactive_GBS!B212</x:f>
        <x:v>1737.6374596844717</x:v>
      </x:c>
      <x:c r="D356" s="10" t="n">
        <x:f>Solactive_GBS!C212</x:f>
        <x:v>0.04668544431851829</x:v>
      </x:c>
      <x:c r="E356" s="12" t="n">
        <x:f>Sources!I356</x:f>
        <x:v>131.7</x:v>
      </x:c>
      <x:c r="F356" s="10" t="n">
        <x:f>E356/E355-1</x:f>
        <x:v>-0.002272727272727315</x:v>
      </x:c>
      <x:c r="G356" s="10" t="n">
        <x:f>(1+D356)/(1+F356)-1</x:f>
        <x:v>0.04906969362220526</x:v>
      </x:c>
    </x:row>
    <x:row r="357">
      <x:c r="A357" s="6" t="n">
        <x:v>45291</x:v>
      </x:c>
      <x:c r="B357" t="str">
        <x:f>IF(A357&lt;=DATE(2006,5,31),"MSCI ACWI GBP Net Return",IF(A357&lt;=DATE(2024,2,29),"Solactive GBS Global Markets L&amp;M GBP NTR","PACW actual grossed up by OCF"))</x:f>
        <x:v>Solactive GBS Global Markets L&amp;M GBP NTR</x:v>
      </x:c>
      <x:c r="C357" s="8" t="n">
        <x:f>Solactive_GBS!B213</x:f>
        <x:v>1807.2516813206112</x:v>
      </x:c>
      <x:c r="D357" s="10" t="n">
        <x:f>Solactive_GBS!C213</x:f>
        <x:v>0.04006256958156307</x:v>
      </x:c>
      <x:c r="E357" s="12" t="n">
        <x:f>Sources!I357</x:f>
        <x:v>132.2</x:v>
      </x:c>
      <x:c r="F357" s="10" t="n">
        <x:f>E357/E356-1</x:f>
        <x:v>0.0037965072133636646</x:v>
      </x:c>
      <x:c r="G357" s="10" t="n">
        <x:f>(1+D357)/(1+F357)-1</x:f>
        <x:v>0.036128898743508886</x:v>
      </x:c>
    </x:row>
    <x:row r="358">
      <x:c r="A358" s="6" t="n">
        <x:v>45322</x:v>
      </x:c>
      <x:c r="B358" t="str">
        <x:f>IF(A358&lt;=DATE(2006,5,31),"MSCI ACWI GBP Net Return",IF(A358&lt;=DATE(2024,2,29),"Solactive GBS Global Markets L&amp;M GBP NTR","PACW actual grossed up by OCF"))</x:f>
        <x:v>Solactive GBS Global Markets L&amp;M GBP NTR</x:v>
      </x:c>
      <x:c r="C358" s="8" t="n">
        <x:f>Solactive_GBS!B214</x:f>
        <x:v>1813.597859800575</x:v>
      </x:c>
      <x:c r="D358" s="10" t="n">
        <x:f>Solactive_GBS!C214</x:f>
        <x:v>0.0035115078577911962</x:v>
      </x:c>
      <x:c r="E358" s="12" t="n">
        <x:f>Sources!I358</x:f>
        <x:v>131.5</x:v>
      </x:c>
      <x:c r="F358" s="10" t="n">
        <x:f>E358/E357-1</x:f>
        <x:v>-0.005295007564296461</x:v>
      </x:c>
      <x:c r="G358" s="10" t="n">
        <x:f>(1+D358)/(1+F358)-1</x:f>
        <x:v>0.008853394211406851</x:v>
      </x:c>
    </x:row>
    <x:row r="359">
      <x:c r="A359" s="6" t="n">
        <x:v>45351</x:v>
      </x:c>
      <x:c r="B359" t="str">
        <x:f>IF(A359&lt;=DATE(2006,5,31),"MSCI ACWI GBP Net Return",IF(A359&lt;=DATE(2024,2,29),"Solactive GBS Global Markets L&amp;M GBP NTR","PACW actual grossed up by OCF"))</x:f>
        <x:v>Solactive GBS Global Markets L&amp;M GBP NTR</x:v>
      </x:c>
      <x:c r="C359" s="8" t="n">
        <x:f>Solactive_GBS!B215</x:f>
        <x:v>1903.240978571691</x:v>
      </x:c>
      <x:c r="D359" s="10" t="n">
        <x:f>Solactive_GBS!C215</x:f>
        <x:v>0.04942833290560511</x:v>
      </x:c>
      <x:c r="E359" s="12" t="n">
        <x:f>Sources!I359</x:f>
        <x:v>132.3</x:v>
      </x:c>
      <x:c r="F359" s="10" t="n">
        <x:f>E359/E358-1</x:f>
        <x:v>0.006083650190114254</x:v>
      </x:c>
      <x:c r="G359" s="10" t="n">
        <x:f>(1+D359)/(1+F359)-1</x:f>
        <x:v>0.043082583349108416</x:v>
      </x:c>
    </x:row>
    <x:row r="360">
      <x:c r="A360" s="6" t="n">
        <x:v>45382</x:v>
      </x:c>
      <x:c r="B360" t="str">
        <x:f>IF(A360&lt;=DATE(2006,5,31),"MSCI ACWI GBP Net Return",IF(A360&lt;=DATE(2024,2,29),"Solactive GBS Global Markets L&amp;M GBP NTR","PACW actual grossed up by OCF"))</x:f>
        <x:v>PACW actual grossed up by OCF</x:v>
      </x:c>
      <x:c r="C360" s="8" t="str">
        <x:f>""</x:f>
      </x:c>
      <x:c r="D360" s="10" t="n">
        <x:f>(1+PACW_Actual!B2)/((1-0.0007)^(1/12))-1</x:f>
        <x:v>0.03353613127139865</x:v>
      </x:c>
      <x:c r="E360" s="12" t="n">
        <x:f>Sources!I360</x:f>
        <x:v>133</x:v>
      </x:c>
      <x:c r="F360" s="10" t="n">
        <x:f>E360/E359-1</x:f>
        <x:v>0.005291005291005124</x:v>
      </x:c>
      <x:c r="G360" s="10" t="n">
        <x:f>(1+D360)/(1+F360)-1</x:f>
        <x:v>0.02809646742260208</x:v>
      </x:c>
    </x:row>
    <x:row r="361">
      <x:c r="A361" s="6" t="n">
        <x:v>45412</x:v>
      </x:c>
      <x:c r="B361" t="str">
        <x:f>IF(A361&lt;=DATE(2006,5,31),"MSCI ACWI GBP Net Return",IF(A361&lt;=DATE(2024,2,29),"Solactive GBS Global Markets L&amp;M GBP NTR","PACW actual grossed up by OCF"))</x:f>
        <x:v>PACW actual grossed up by OCF</x:v>
      </x:c>
      <x:c r="C361" s="8" t="str">
        <x:f>""</x:f>
      </x:c>
      <x:c r="D361" s="10" t="n">
        <x:f>(1+PACW_Actual!B3)/((1-0.0007)^(1/12))-1</x:f>
        <x:v>-0.022412207914580762</x:v>
      </x:c>
      <x:c r="E361" s="12" t="n">
        <x:f>Sources!I361</x:f>
        <x:v>133.5</x:v>
      </x:c>
      <x:c r="F361" s="10" t="n">
        <x:f>E361/E360-1</x:f>
        <x:v>0.003759398496240518</x:v>
      </x:c>
      <x:c r="G361" s="10" t="n">
        <x:f>(1+D361)/(1+F361)-1</x:f>
        <x:v>-0.026073585413027955</x:v>
      </x:c>
    </x:row>
    <x:row r="362">
      <x:c r="A362" s="6" t="n">
        <x:v>45443</x:v>
      </x:c>
      <x:c r="B362" t="str">
        <x:f>IF(A362&lt;=DATE(2006,5,31),"MSCI ACWI GBP Net Return",IF(A362&lt;=DATE(2024,2,29),"Solactive GBS Global Markets L&amp;M GBP NTR","PACW actual grossed up by OCF"))</x:f>
        <x:v>PACW actual grossed up by OCF</x:v>
      </x:c>
      <x:c r="C362" s="8" t="str">
        <x:f>""</x:f>
      </x:c>
      <x:c r="D362" s="10" t="n">
        <x:f>(1+PACW_Actual!B4)/((1-0.0007)^(1/12))-1</x:f>
        <x:v>0.02305909832369979</x:v>
      </x:c>
      <x:c r="E362" s="12" t="n">
        <x:f>Sources!I362</x:f>
        <x:v>133.9</x:v>
      </x:c>
      <x:c r="F362" s="10" t="n">
        <x:f>E362/E361-1</x:f>
        <x:v>0.002996254681647992</x:v>
      </x:c>
      <x:c r="G362" s="10" t="n">
        <x:f>(1+D362)/(1+F362)-1</x:f>
        <x:v>0.020002909829827553</x:v>
      </x:c>
    </x:row>
    <x:row r="363">
      <x:c r="A363" s="6" t="n">
        <x:v>45473</x:v>
      </x:c>
      <x:c r="B363" t="str">
        <x:f>IF(A363&lt;=DATE(2006,5,31),"MSCI ACWI GBP Net Return",IF(A363&lt;=DATE(2024,2,29),"Solactive GBS Global Markets L&amp;M GBP NTR","PACW actual grossed up by OCF"))</x:f>
        <x:v>PACW actual grossed up by OCF</x:v>
      </x:c>
      <x:c r="C363" s="8" t="str">
        <x:f>""</x:f>
      </x:c>
      <x:c r="D363" s="10" t="n">
        <x:f>(1+PACW_Actual!B5)/((1-0.0007)^(1/12))-1</x:f>
        <x:v>0.03002478782690865</x:v>
      </x:c>
      <x:c r="E363" s="12" t="n">
        <x:f>Sources!I363</x:f>
        <x:v>134.1</x:v>
      </x:c>
      <x:c r="F363" s="10" t="n">
        <x:f>E363/E362-1</x:f>
        <x:v>0.0014936519790886837</x:v>
      </x:c>
      <x:c r="G363" s="10" t="n">
        <x:f>(1+D363)/(1+F363)-1</x:f>
        <x:v>0.028488583818218505</x:v>
      </x:c>
    </x:row>
    <x:row r="364">
      <x:c r="A364" s="6" t="n">
        <x:v>45504</x:v>
      </x:c>
      <x:c r="B364" t="str">
        <x:f>IF(A364&lt;=DATE(2006,5,31),"MSCI ACWI GBP Net Return",IF(A364&lt;=DATE(2024,2,29),"Solactive GBS Global Markets L&amp;M GBP NTR","PACW actual grossed up by OCF"))</x:f>
        <x:v>PACW actual grossed up by OCF</x:v>
      </x:c>
      <x:c r="C364" s="8" t="str">
        <x:f>""</x:f>
      </x:c>
      <x:c r="D364" s="10" t="n">
        <x:f>(1+PACW_Actual!B6)/((1-0.0007)^(1/12))-1</x:f>
        <x:v>-0.0007578583291553143</x:v>
      </x:c>
      <x:c r="E364" s="12" t="n">
        <x:f>Sources!I364</x:f>
        <x:v>133.8</x:v>
      </x:c>
      <x:c r="F364" s="10" t="n">
        <x:f>E364/E363-1</x:f>
        <x:v>-0.0022371364653243075</x:v>
      </x:c>
      <x:c r="G364" s="10" t="n">
        <x:f>(1+D364)/(1+F364)-1</x:f>
        <x:v>0.0014825949032903907</x:v>
      </x:c>
    </x:row>
    <x:row r="365">
      <x:c r="A365" s="6" t="n">
        <x:v>45535</x:v>
      </x:c>
      <x:c r="B365" t="str">
        <x:f>IF(A365&lt;=DATE(2006,5,31),"MSCI ACWI GBP Net Return",IF(A365&lt;=DATE(2024,2,29),"Solactive GBS Global Markets L&amp;M GBP NTR","PACW actual grossed up by OCF"))</x:f>
        <x:v>PACW actual grossed up by OCF</x:v>
      </x:c>
      <x:c r="C365" s="8" t="str">
        <x:f>""</x:f>
      </x:c>
      <x:c r="D365" s="10" t="n">
        <x:f>(1+PACW_Actual!B7)/((1-0.0007)^(1/12))-1</x:f>
        <x:v>0.0012809400421238681</x:v>
      </x:c>
      <x:c r="E365" s="12" t="n">
        <x:f>Sources!I365</x:f>
        <x:v>134.3</x:v>
      </x:c>
      <x:c r="F365" s="10" t="n">
        <x:f>E365/E364-1</x:f>
        <x:v>0.0037369207772794955</x:v>
      </x:c>
      <x:c r="G365" s="10" t="n">
        <x:f>(1+D365)/(1+F365)-1</x:f>
        <x:v>-0.0024468370987625887</x:v>
      </x:c>
    </x:row>
    <x:row r="366">
      <x:c r="A366" s="6" t="n">
        <x:v>45565</x:v>
      </x:c>
      <x:c r="B366" t="str">
        <x:f>IF(A366&lt;=DATE(2006,5,31),"MSCI ACWI GBP Net Return",IF(A366&lt;=DATE(2024,2,29),"Solactive GBS Global Markets L&amp;M GBP NTR","PACW actual grossed up by OCF"))</x:f>
        <x:v>PACW actual grossed up by OCF</x:v>
      </x:c>
      <x:c r="C366" s="8" t="str">
        <x:f>""</x:f>
      </x:c>
      <x:c r="D366" s="10" t="n">
        <x:f>(1+PACW_Actual!B8)/((1-0.0007)^(1/12))-1</x:f>
        <x:v>0.00247780852774393</x:v>
      </x:c>
      <x:c r="E366" s="12" t="n">
        <x:f>Sources!I366</x:f>
        <x:v>134.2</x:v>
      </x:c>
      <x:c r="F366" s="10" t="n">
        <x:f>E366/E365-1</x:f>
        <x:v>-0.0007446016381237319</x:v>
      </x:c>
      <x:c r="G366" s="10" t="n">
        <x:f>(1+D366)/(1+F366)-1</x:f>
        <x:v>0.003224811365693192</x:v>
      </x:c>
    </x:row>
    <x:row r="367">
      <x:c r="A367" s="6" t="n">
        <x:v>45596</x:v>
      </x:c>
      <x:c r="B367" t="str">
        <x:f>IF(A367&lt;=DATE(2006,5,31),"MSCI ACWI GBP Net Return",IF(A367&lt;=DATE(2024,2,29),"Solactive GBS Global Markets L&amp;M GBP NTR","PACW actual grossed up by OCF"))</x:f>
        <x:v>PACW actual grossed up by OCF</x:v>
      </x:c>
      <x:c r="C367" s="8" t="str">
        <x:f>""</x:f>
      </x:c>
      <x:c r="D367" s="10" t="n">
        <x:f>(1+PACW_Actual!B9)/((1-0.0007)^(1/12))-1</x:f>
        <x:v>0.019550372834608032</x:v>
      </x:c>
      <x:c r="E367" s="12" t="n">
        <x:f>Sources!I367</x:f>
        <x:v>135</x:v>
      </x:c>
      <x:c r="F367" s="10" t="n">
        <x:f>E367/E366-1</x:f>
        <x:v>0.005961251862891315</x:v>
      </x:c>
      <x:c r="G367" s="10" t="n">
        <x:f>(1+D367)/(1+F367)-1</x:f>
        <x:v>0.013508592847439882</x:v>
      </x:c>
    </x:row>
    <x:row r="368">
      <x:c r="A368" s="6" t="n">
        <x:v>45626</x:v>
      </x:c>
      <x:c r="B368" t="str">
        <x:f>IF(A368&lt;=DATE(2006,5,31),"MSCI ACWI GBP Net Return",IF(A368&lt;=DATE(2024,2,29),"Solactive GBS Global Markets L&amp;M GBP NTR","PACW actual grossed up by OCF"))</x:f>
        <x:v>PACW actual grossed up by OCF</x:v>
      </x:c>
      <x:c r="C368" s="8" t="str">
        <x:f>""</x:f>
      </x:c>
      <x:c r="D368" s="10" t="n">
        <x:f>(1+PACW_Actual!B10)/((1-0.0007)^(1/12))-1</x:f>
        <x:v>0.04788120570402321</x:v>
      </x:c>
      <x:c r="E368" s="12" t="n">
        <x:f>Sources!I368</x:f>
        <x:v>135.1</x:v>
      </x:c>
      <x:c r="F368" s="10" t="n">
        <x:f>E368/E367-1</x:f>
        <x:v>0.0007407407407407085</x:v>
      </x:c>
      <x:c r="G368" s="10" t="n">
        <x:f>(1+D368)/(1+F368)-1</x:f>
        <x:v>0.04710557194702547</x:v>
      </x:c>
    </x:row>
    <x:row r="369">
      <x:c r="A369" s="6" t="n">
        <x:v>45657</x:v>
      </x:c>
      <x:c r="B369" t="str">
        <x:f>IF(A369&lt;=DATE(2006,5,31),"MSCI ACWI GBP Net Return",IF(A369&lt;=DATE(2024,2,29),"Solactive GBS Global Markets L&amp;M GBP NTR","PACW actual grossed up by OCF"))</x:f>
        <x:v>PACW actual grossed up by OCF</x:v>
      </x:c>
      <x:c r="C369" s="8" t="str">
        <x:f>""</x:f>
      </x:c>
      <x:c r="D369" s="10" t="n">
        <x:f>(1+PACW_Actual!B11)/((1-0.0007)^(1/12))-1</x:f>
        <x:v>-0.008289281293539341</x:v>
      </x:c>
      <x:c r="E369" s="12" t="n">
        <x:f>Sources!I369</x:f>
        <x:v>135.6</x:v>
      </x:c>
      <x:c r="F369" s="10" t="n">
        <x:f>E369/E368-1</x:f>
        <x:v>0.0037009622501851247</x:v>
      </x:c>
      <x:c r="G369" s="10" t="n">
        <x:f>(1+D369)/(1+F369)-1</x:f>
        <x:v>-0.011946031731247642</x:v>
      </x:c>
    </x:row>
    <x:row r="370">
      <x:c r="A370" s="6" t="n">
        <x:v>45688</x:v>
      </x:c>
      <x:c r="B370" t="str">
        <x:f>IF(A370&lt;=DATE(2006,5,31),"MSCI ACWI GBP Net Return",IF(A370&lt;=DATE(2024,2,29),"Solactive GBS Global Markets L&amp;M GBP NTR","PACW actual grossed up by OCF"))</x:f>
        <x:v>PACW actual grossed up by OCF</x:v>
      </x:c>
      <x:c r="C370" s="8" t="str">
        <x:f>""</x:f>
      </x:c>
      <x:c r="D370" s="10" t="n">
        <x:f>(1+PACW_Actual!B12)/((1-0.0007)^(1/12))-1</x:f>
        <x:v>0.04166360377659206</x:v>
      </x:c>
      <x:c r="E370" s="12" t="n">
        <x:f>Sources!I370</x:f>
        <x:v>135.4</x:v>
      </x:c>
      <x:c r="F370" s="10" t="n">
        <x:f>E370/E369-1</x:f>
        <x:v>-0.001474926253687281</x:v>
      </x:c>
      <x:c r="G370" s="10" t="n">
        <x:f>(1+D370)/(1+F370)-1</x:f>
        <x:v>0.0432022501632634</x:v>
      </x:c>
    </x:row>
    <x:row r="371">
      <x:c r="A371" s="6" t="n">
        <x:v>45716</x:v>
      </x:c>
      <x:c r="B371" t="str">
        <x:f>IF(A371&lt;=DATE(2006,5,31),"MSCI ACWI GBP Net Return",IF(A371&lt;=DATE(2024,2,29),"Solactive GBS Global Markets L&amp;M GBP NTR","PACW actual grossed up by OCF"))</x:f>
        <x:v>PACW actual grossed up by OCF</x:v>
      </x:c>
      <x:c r="C371" s="8" t="str">
        <x:f>""</x:f>
      </x:c>
      <x:c r="D371" s="10" t="n">
        <x:f>(1+PACW_Actual!B13)/((1-0.0007)^(1/12))-1</x:f>
        <x:v>-0.01934681005343908</x:v>
      </x:c>
      <x:c r="E371" s="12" t="n">
        <x:f>Sources!I371</x:f>
        <x:v>136</x:v>
      </x:c>
      <x:c r="F371" s="10" t="n">
        <x:f>E371/E370-1</x:f>
        <x:v>0.004431314623338123</x:v>
      </x:c>
      <x:c r="G371" s="10" t="n">
        <x:f>(1+D371)/(1+F371)-1</x:f>
        <x:v>-0.023673221185556148</x:v>
      </x:c>
    </x:row>
    <x:row r="372">
      <x:c r="A372" s="6" t="n">
        <x:v>45747</x:v>
      </x:c>
      <x:c r="B372" t="str">
        <x:f>IF(A372&lt;=DATE(2006,5,31),"MSCI ACWI GBP Net Return",IF(A372&lt;=DATE(2024,2,29),"Solactive GBS Global Markets L&amp;M GBP NTR","PACW actual grossed up by OCF"))</x:f>
        <x:v>PACW actual grossed up by OCF</x:v>
      </x:c>
      <x:c r="C372" s="8" t="str">
        <x:f>""</x:f>
      </x:c>
      <x:c r="D372" s="10" t="n">
        <x:f>(1+PACW_Actual!B14)/((1-0.0007)^(1/12))-1</x:f>
        <x:v>-0.06278387292185617</x:v>
      </x:c>
      <x:c r="E372" s="12" t="n">
        <x:f>Sources!I372</x:f>
        <x:v>136.5</x:v>
      </x:c>
      <x:c r="F372" s="10" t="n">
        <x:f>E372/E371-1</x:f>
        <x:v>0.003676470588235281</x:v>
      </x:c>
      <x:c r="G372" s="10" t="n">
        <x:f>(1+D372)/(1+F372)-1</x:f>
        <x:v>-0.06621689902836947</x:v>
      </x:c>
    </x:row>
    <x:row r="373">
      <x:c r="A373" s="6" t="n">
        <x:v>45777</x:v>
      </x:c>
      <x:c r="B373" t="str">
        <x:f>IF(A373&lt;=DATE(2006,5,31),"MSCI ACWI GBP Net Return",IF(A373&lt;=DATE(2024,2,29),"Solactive GBS Global Markets L&amp;M GBP NTR","PACW actual grossed up by OCF"))</x:f>
        <x:v>PACW actual grossed up by OCF</x:v>
      </x:c>
      <x:c r="C373" s="8" t="str">
        <x:f>""</x:f>
      </x:c>
      <x:c r="D373" s="10" t="n">
        <x:f>(1+PACW_Actual!B15)/((1-0.0007)^(1/12))-1</x:f>
        <x:v>-0.023220946923058094</x:v>
      </x:c>
      <x:c r="E373" s="12" t="n">
        <x:f>Sources!I373</x:f>
        <x:v>138.2</x:v>
      </x:c>
      <x:c r="F373" s="10" t="n">
        <x:f>E373/E372-1</x:f>
        <x:v>0.01245421245421241</x:v>
      </x:c>
      <x:c r="G373" s="10" t="n">
        <x:f>(1+D373)/(1+F373)-1</x:f>
        <x:v>-0.03523631877711597</x:v>
      </x:c>
    </x:row>
    <x:row r="374">
      <x:c r="A374" s="6" t="n">
        <x:v>45808</x:v>
      </x:c>
      <x:c r="B374" t="str">
        <x:f>IF(A374&lt;=DATE(2006,5,31),"MSCI ACWI GBP Net Return",IF(A374&lt;=DATE(2024,2,29),"Solactive GBS Global Markets L&amp;M GBP NTR","PACW actual grossed up by OCF"))</x:f>
        <x:v>PACW actual grossed up by OCF</x:v>
      </x:c>
      <x:c r="C374" s="8" t="str">
        <x:f>""</x:f>
      </x:c>
      <x:c r="D374" s="10" t="n">
        <x:f>(1+PACW_Actual!B16)/((1-0.0007)^(1/12))-1</x:f>
        <x:v>0.04803111951177286</x:v>
      </x:c>
      <x:c r="E374" s="12" t="n">
        <x:f>Sources!I374</x:f>
        <x:v>138.4</x:v>
      </x:c>
      <x:c r="F374" s="10" t="n">
        <x:f>E374/E373-1</x:f>
        <x:v>0.0014471780028944004</x:v>
      </x:c>
      <x:c r="G374" s="10" t="n">
        <x:f>(1+D374)/(1+F374)-1</x:f>
        <x:v>0.04651662367432796</x:v>
      </x:c>
    </x:row>
    <x:row r="375">
      <x:c r="A375" s="6" t="n">
        <x:v>45838</x:v>
      </x:c>
      <x:c r="B375" t="str">
        <x:f>IF(A375&lt;=DATE(2006,5,31),"MSCI ACWI GBP Net Return",IF(A375&lt;=DATE(2024,2,29),"Solactive GBS Global Markets L&amp;M GBP NTR","PACW actual grossed up by OCF"))</x:f>
        <x:v>PACW actual grossed up by OCF</x:v>
      </x:c>
      <x:c r="C375" s="8" t="str">
        <x:f>""</x:f>
      </x:c>
      <x:c r="D375" s="10" t="n">
        <x:f>(1+PACW_Actual!B17)/((1-0.0007)^(1/12))-1</x:f>
        <x:v>0.028707559373229774</x:v>
      </x:c>
      <x:c r="E375" s="12" t="n">
        <x:f>Sources!I375</x:f>
        <x:v>138.9</x:v>
      </x:c>
      <x:c r="F375" s="10" t="n">
        <x:f>E375/E374-1</x:f>
        <x:v>0.0036127167630057855</x:v>
      </x:c>
      <x:c r="G375" s="10" t="n">
        <x:f>(1+D375)/(1+F375)-1</x:f>
        <x:v>0.02500450840356372</x:v>
      </x:c>
    </x:row>
    <x:row r="376">
      <x:c r="A376" s="6" t="n">
        <x:v>45869</x:v>
      </x:c>
      <x:c r="B376" t="str">
        <x:f>IF(A376&lt;=DATE(2006,5,31),"MSCI ACWI GBP Net Return",IF(A376&lt;=DATE(2024,2,29),"Solactive GBS Global Markets L&amp;M GBP NTR","PACW actual grossed up by OCF"))</x:f>
        <x:v>PACW actual grossed up by OCF</x:v>
      </x:c>
      <x:c r="C376" s="8" t="str">
        <x:f>""</x:f>
      </x:c>
      <x:c r="D376" s="10" t="n">
        <x:f>(1+PACW_Actual!B18)/((1-0.0007)^(1/12))-1</x:f>
        <x:v>0.05049901313035865</x:v>
      </x:c>
      <x:c r="E376" s="12" t="n">
        <x:f>Sources!I376</x:f>
        <x:v>139</x:v>
      </x:c>
      <x:c r="F376" s="10" t="n">
        <x:f>E376/E375-1</x:f>
        <x:v>0.0007199424046075986</x:v>
      </x:c>
      <x:c r="G376" s="10" t="n">
        <x:f>(1+D376)/(1+F376)-1</x:f>
        <x:v>0.04974325844465333</x:v>
      </x:c>
    </x:row>
    <x:row r="377">
      <x:c r="A377" s="6" t="n">
        <x:v>45900</x:v>
      </x:c>
      <x:c r="B377" t="str">
        <x:f>IF(A377&lt;=DATE(2006,5,31),"MSCI ACWI GBP Net Return",IF(A377&lt;=DATE(2024,2,29),"Solactive GBS Global Markets L&amp;M GBP NTR","PACW actual grossed up by OCF"))</x:f>
        <x:v>PACW actual grossed up by OCF</x:v>
      </x:c>
      <x:c r="C377" s="8" t="str">
        <x:f>""</x:f>
      </x:c>
      <x:c r="D377" s="10" t="n">
        <x:f>(1+PACW_Actual!B19)/((1-0.0007)^(1/12))-1</x:f>
        <x:v>0.004460737007194515</x:v>
      </x:c>
      <x:c r="E377" s="12" t="n">
        <x:f>Sources!I377</x:f>
        <x:v>139.3</x:v>
      </x:c>
      <x:c r="F377" s="10" t="n">
        <x:f>E377/E376-1</x:f>
        <x:v>0.0021582733812950394</x:v>
      </x:c>
      <x:c r="G377" s="10" t="n">
        <x:f>(1+D377)/(1+F377)-1</x:f>
        <x:v>0.002297504982053278</x:v>
      </x:c>
    </x:row>
    <x:row r="378">
      <x:c r="A378" s="6" t="n">
        <x:v>45930</x:v>
      </x:c>
      <x:c r="B378" t="str">
        <x:f>IF(A378&lt;=DATE(2006,5,31),"MSCI ACWI GBP Net Return",IF(A378&lt;=DATE(2024,2,29),"Solactive GBS Global Markets L&amp;M GBP NTR","PACW actual grossed up by OCF"))</x:f>
        <x:v>PACW actual grossed up by OCF</x:v>
      </x:c>
      <x:c r="C378" s="8" t="str">
        <x:f>""</x:f>
      </x:c>
      <x:c r="D378" s="10" t="n">
        <x:f>(1+PACW_Actual!B20)/((1-0.0007)^(1/12))-1</x:f>
        <x:v>0.040396162162962934</x:v>
      </x:c>
      <x:c r="E378" s="12" t="n">
        <x:f>Sources!I378</x:f>
        <x:v>139.3</x:v>
      </x:c>
      <x:c r="F378" s="10" t="n">
        <x:f>E378/E377-1</x:f>
        <x:v>0</x:v>
      </x:c>
      <x:c r="G378" s="10" t="n">
        <x:f>(1+D378)/(1+F378)-1</x:f>
        <x:v>0.040396162162962934</x:v>
      </x:c>
    </x:row>
    <x:row r="379">
      <x:c r="A379" s="6" t="n">
        <x:v>45961</x:v>
      </x:c>
      <x:c r="B379" t="str">
        <x:f>IF(A379&lt;=DATE(2006,5,31),"MSCI ACWI GBP Net Return",IF(A379&lt;=DATE(2024,2,29),"Solactive GBS Global Markets L&amp;M GBP NTR","PACW actual grossed up by OCF"))</x:f>
        <x:v>PACW actual grossed up by OCF</x:v>
      </x:c>
      <x:c r="C379" s="8" t="str">
        <x:f>""</x:f>
      </x:c>
      <x:c r="D379" s="10" t="n">
        <x:f>(1+PACW_Actual!B21)/((1-0.0007)^(1/12))-1</x:f>
        <x:v>0.04765000694844179</x:v>
      </x:c>
      <x:c r="E379" s="12" t="n">
        <x:f>Sources!I379</x:f>
        <x:v>139.8</x:v>
      </x:c>
      <x:c r="F379" s="10" t="n">
        <x:f>E379/E378-1</x:f>
        <x:v>0.003589375448671994</x:v>
      </x:c>
      <x:c r="G379" s="10" t="n">
        <x:f>(1+D379)/(1+F379)-1</x:f>
        <x:v>0.04390304698081504</x:v>
      </x:c>
    </x:row>
    <x:row r="380">
      <x:c r="A380" s="6" t="n">
        <x:v>45991</x:v>
      </x:c>
      <x:c r="B380" t="str">
        <x:f>IF(A380&lt;=DATE(2006,5,31),"MSCI ACWI GBP Net Return",IF(A380&lt;=DATE(2024,2,29),"Solactive GBS Global Markets L&amp;M GBP NTR","PACW actual grossed up by OCF"))</x:f>
        <x:v>PACW actual grossed up by OCF</x:v>
      </x:c>
      <x:c r="C380" s="8" t="str">
        <x:f>""</x:f>
      </x:c>
      <x:c r="D380" s="10" t="n">
        <x:f>(1+PACW_Actual!B22)/((1-0.0007)^(1/12))-1</x:f>
        <x:v>-0.008708516968548574</x:v>
      </x:c>
      <x:c r="E380" s="12" t="n">
        <x:f>Sources!I380</x:f>
        <x:v>139.5</x:v>
      </x:c>
      <x:c r="F380" s="10" t="n">
        <x:f>E380/E379-1</x:f>
        <x:v>-0.0021459227467811592</x:v>
      </x:c>
      <x:c r="G380" s="10" t="n">
        <x:f>(1+D380)/(1+F380)-1</x:f>
        <x:v>-0.006576707327620723</x:v>
      </x:c>
    </x:row>
    <x:row r="381">
      <x:c r="A381" s="6" t="n">
        <x:v>46022</x:v>
      </x:c>
      <x:c r="B381" t="str">
        <x:f>IF(A381&lt;=DATE(2006,5,31),"MSCI ACWI GBP Net Return",IF(A381&lt;=DATE(2024,2,29),"Solactive GBS Global Markets L&amp;M GBP NTR","PACW actual grossed up by OCF"))</x:f>
        <x:v>PACW actual grossed up by OCF</x:v>
      </x:c>
      <x:c r="C381" s="8" t="str">
        <x:f>""</x:f>
      </x:c>
      <x:c r="D381" s="10" t="n">
        <x:f>(1+PACW_Actual!B23)/((1-0.0007)^(1/12))-1</x:f>
        <x:v>-0.004305199433380369</x:v>
      </x:c>
      <x:c r="E381" s="12" t="n">
        <x:f>Sources!I381</x:f>
        <x:v>140.1</x:v>
      </x:c>
      <x:c r="F381" s="10" t="n">
        <x:f>E381/E380-1</x:f>
        <x:v>0.004301075268817067</x:v>
      </x:c>
      <x:c r="G381" s="10" t="n">
        <x:f>(1+D381)/(1+F381)-1</x:f>
        <x:v>-0.00856941699469338</x:v>
      </x:c>
    </x:row>
    <x:row r="382">
      <x:c r="A382" s="6" t="n">
        <x:v>46053</x:v>
      </x:c>
      <x:c r="B382" t="str">
        <x:f>IF(A382&lt;=DATE(2006,5,31),"MSCI ACWI GBP Net Return",IF(A382&lt;=DATE(2024,2,29),"Solactive GBS Global Markets L&amp;M GBP NTR","PACW actual grossed up by OCF"))</x:f>
        <x:v>PACW actual grossed up by OCF</x:v>
      </x:c>
      <x:c r="C382" s="8" t="str">
        <x:f>""</x:f>
      </x:c>
      <x:c r="D382" s="10" t="n">
        <x:f>(1+PACW_Actual!B24)/((1-0.0007)^(1/12))-1</x:f>
        <x:v>0.009222443079880849</x:v>
      </x:c>
      <x:c r="E382" s="12" t="n">
        <x:f>Sources!I382</x:f>
        <x:v>139.5</x:v>
      </x:c>
      <x:c r="F382" s="10" t="n">
        <x:f>E382/E381-1</x:f>
        <x:v>-0.004282655246252598</x:v>
      </x:c>
      <x:c r="G382" s="10" t="n">
        <x:f>(1+D382)/(1+F382)-1</x:f>
        <x:v>0.013563184770546854</x:v>
      </x:c>
    </x:row>
    <x:row r="383">
      <x:c r="A383" s="6" t="n">
        <x:v>46081</x:v>
      </x:c>
      <x:c r="B383" t="str">
        <x:f>IF(A383&lt;=DATE(2006,5,31),"MSCI ACWI GBP Net Return",IF(A383&lt;=DATE(2024,2,29),"Solactive GBS Global Markets L&amp;M GBP NTR","PACW actual grossed up by OCF"))</x:f>
        <x:v>PACW actual grossed up by OCF</x:v>
      </x:c>
      <x:c r="C383" s="8" t="str">
        <x:f>""</x:f>
      </x:c>
      <x:c r="D383" s="10" t="n">
        <x:f>(1+PACW_Actual!B25)/((1-0.0007)^(1/12))-1</x:f>
        <x:v>0.03405027384972592</x:v>
      </x:c>
      <x:c r="E383" s="12" t="n">
        <x:f>Sources!I383</x:f>
        <x:v>140.1</x:v>
      </x:c>
      <x:c r="F383" s="10" t="n">
        <x:f>E383/E382-1</x:f>
        <x:v>0.004301075268817067</x:v>
      </x:c>
      <x:c r="G383" s="10" t="n">
        <x:f>(1+D383)/(1+F383)-1</x:f>
        <x:v>0.029621793019534604</x:v>
      </x:c>
    </x:row>
    <x:row r="384">
      <x:c r="A384" s="6" t="n">
        <x:v>46112</x:v>
      </x:c>
      <x:c r="B384" t="str">
        <x:f>IF(A384&lt;=DATE(2006,5,31),"MSCI ACWI GBP Net Return",IF(A384&lt;=DATE(2024,2,29),"Solactive GBS Global Markets L&amp;M GBP NTR","PACW actual grossed up by OCF"))</x:f>
        <x:v>PACW actual grossed up by OCF</x:v>
      </x:c>
      <x:c r="C384" s="8" t="str">
        <x:f>""</x:f>
      </x:c>
      <x:c r="D384" s="10" t="n">
        <x:f>(1+PACW_Actual!B26)/((1-0.0007)^(1/12))-1</x:f>
        <x:v>-0.05457420275747171</x:v>
      </x:c>
      <x:c r="E384" s="12" t="n">
        <x:f>Sources!I384</x:f>
        <x:v>141</x:v>
      </x:c>
      <x:c r="F384" s="10" t="n">
        <x:f>E384/E383-1</x:f>
        <x:v>0.0064239828693790635</x:v>
      </x:c>
      <x:c r="G384" s="10" t="n">
        <x:f>(1+D384)/(1+F384)-1</x:f>
        <x:v>-0.060608835505828296</x:v>
      </x:c>
    </x:row>
    <x:row r="385">
      <x:c r="A385" s="6" t="n">
        <x:v>46142</x:v>
      </x:c>
      <x:c r="B385" t="str">
        <x:f>IF(A385&lt;=DATE(2006,5,31),"MSCI ACWI GBP Net Return",IF(A385&lt;=DATE(2024,2,29),"Solactive GBS Global Markets L&amp;M GBP NTR","PACW actual grossed up by OCF"))</x:f>
        <x:v>PACW actual grossed up by OCF</x:v>
      </x:c>
      <x:c r="C385" s="8" t="str">
        <x:f>""</x:f>
      </x:c>
      <x:c r="D385" s="10" t="n">
        <x:f>(1+PACW_Actual!B27)/((1-0.0007)^(1/12))-1</x:f>
        <x:v>0.07054860491664505</x:v>
      </x:c>
      <x:c r="E385" s="12" t="n">
        <x:f>Sources!I385</x:f>
        <x:v>142.1</x:v>
      </x:c>
      <x:c r="F385" s="10" t="n">
        <x:f>E385/E384-1</x:f>
        <x:v>0.007801418439716379</x:v>
      </x:c>
      <x:c r="G385" s="10" t="n">
        <x:f>(1+D385)/(1+F385)-1</x:f>
        <x:v>0.06226145878428535</x:v>
      </x:c>
    </x:row>
    <x:row r="386">
      <x:c r="A386" s="6" t="n">
        <x:v>46173</x:v>
      </x:c>
      <x:c r="B386" t="str">
        <x:f>IF(A386&lt;=DATE(2006,5,31),"MSCI ACWI GBP Net Return",IF(A386&lt;=DATE(2024,2,29),"Solactive GBS Global Markets L&amp;M GBP NTR","PACW actual grossed up by OCF"))</x:f>
        <x:v>PACW actual grossed up by OCF</x:v>
      </x:c>
      <x:c r="C386" s="8" t="str">
        <x:f>""</x:f>
      </x:c>
      <x:c r="D386" s="10" t="n">
        <x:f>(1+PACW_Actual!B28)/((1-0.0007)^(1/12))-1</x:f>
        <x:v>0.060781562069084805</x:v>
      </x:c>
      <x:c r="E386" s="12" t="n">
        <x:f>Sources!I386</x:f>
        <x:v>142.4</x:v>
      </x:c>
      <x:c r="F386" s="10" t="n">
        <x:f>E386/E385-1</x:f>
        <x:v>0.00211118930330767</x:v>
      </x:c>
      <x:c r="G386" s="10" t="n">
        <x:f>(1+D386)/(1+F386)-1</x:f>
        <x:v>0.05854676945236603</x:v>
      </x:c>
    </x:row>
    <x:row r="387">
      <x:c r="A387" s="6" t="n">
        <x:v>46203</x:v>
      </x:c>
      <x:c r="B387" t="str">
        <x:f>IF(A387&lt;=DATE(2006,5,31),"MSCI ACWI GBP Net Return",IF(A387&lt;=DATE(2024,2,29),"Solactive GBS Global Markets L&amp;M GBP NTR","PACW actual grossed up by OCF"))</x:f>
        <x:v>PACW actual grossed up by OCF</x:v>
      </x:c>
      <x:c r="C387" s="8" t="str">
        <x:f>""</x:f>
      </x:c>
      <x:c r="D387" s="10" t="n">
        <x:f>(1+PACW_Actual!B29)/((1-0.0007)^(1/12))-1</x:f>
        <x:v>0.006732511520346929</x:v>
      </x:c>
      <x:c r="E387" s="12" t="n">
        <x:f>Sources!I387</x:f>
        <x:v>142.5</x:v>
      </x:c>
      <x:c r="F387" s="10" t="n">
        <x:f>E387/E386-1</x:f>
        <x:v>0.000702247191011196</x:v>
      </x:c>
      <x:c r="G387" s="10" t="n">
        <x:f>(1+D387)/(1+F387)-1</x:f>
        <x:v>0.0060260325648942015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</x:cols>
  <x:sheetData>
    <x:row r="1">
      <x:c r="A1" s="3" t="str">
        <x:v>date</x:v>
      </x:c>
      <x:c r="B1" s="3" t="str">
        <x:v>MSCI_ACWI_GBP_net_total_return_level</x:v>
      </x:c>
      <x:c r="C1" s="3" t="str">
        <x:v>monthly_return_GBP</x:v>
      </x:c>
    </x:row>
    <x:row r="2">
      <x:c r="A2" s="6" t="n">
        <x:v>34485</x:v>
      </x:c>
      <x:c r="B2" s="8" t="n">
        <x:v>22029.61148783406</x:v>
      </x:c>
      <x:c r="C2" s="10"/>
    </x:row>
    <x:row r="3">
      <x:c r="A3" s="6" t="n">
        <x:v>34515</x:v>
      </x:c>
      <x:c r="B3" s="8" t="n">
        <x:v>21606.609356571877</x:v>
      </x:c>
      <x:c r="C3" s="10" t="n">
        <x:f>B3/B2-1</x:f>
        <x:v>-0.01920152479746584</x:v>
      </x:c>
    </x:row>
    <x:row r="4">
      <x:c r="A4" s="6" t="n">
        <x:v>34546</x:v>
      </x:c>
      <x:c r="B4" s="8" t="n">
        <x:v>21792.12599728454</x:v>
      </x:c>
      <x:c r="C4" s="10" t="n">
        <x:f>B4/B3-1</x:f>
        <x:v>0.00858610611461974</x:v>
      </x:c>
    </x:row>
    <x:row r="5">
      <x:c r="A5" s="6" t="n">
        <x:v>34577</x:v>
      </x:c>
      <x:c r="B5" s="8" t="n">
        <x:v>22634.21636623006</x:v>
      </x:c>
      <x:c r="C5" s="10" t="n">
        <x:f>B5/B4-1</x:f>
        <x:v>0.03864195577110974</x:v>
      </x:c>
    </x:row>
    <x:row r="6">
      <x:c r="A6" s="6" t="n">
        <x:v>34607</x:v>
      </x:c>
      <x:c r="B6" s="8" t="n">
        <x:v>21765.417482919354</x:v>
      </x:c>
      <x:c r="C6" s="10" t="n">
        <x:f>B6/B5-1</x:f>
        <x:v>-0.03838431467002057</x:v>
      </x:c>
    </x:row>
    <x:row r="7">
      <x:c r="A7" s="6" t="n">
        <x:v>34638</x:v>
      </x:c>
      <x:c r="B7" s="8" t="n">
        <x:v>21763.220916334656</x:v>
      </x:c>
      <x:c r="C7" s="10" t="n">
        <x:f>B7/B6-1</x:f>
        <x:v>-0.0001009200299705304</x:v>
      </x:c>
    </x:row>
    <x:row r="8">
      <x:c r="A8" s="6" t="n">
        <x:v>34668</x:v>
      </x:c>
      <x:c r="B8" s="8" t="n">
        <x:v>21043.398137427637</x:v>
      </x:c>
      <x:c r="C8" s="10" t="n">
        <x:f>B8/B7-1</x:f>
        <x:v>-0.033075195150307324</x:v>
      </x:c>
    </x:row>
    <x:row r="9">
      <x:c r="A9" s="6" t="n">
        <x:v>34699</x:v>
      </x:c>
      <x:c r="B9" s="8" t="n">
        <x:v>21530.02230063514</x:v>
      </x:c>
      <x:c r="C9" s="10" t="n">
        <x:f>B9/B8-1</x:f>
        <x:v>0.023124790018680397</x:v>
      </x:c>
    </x:row>
    <x:row r="10">
      <x:c r="A10" s="6" t="n">
        <x:v>34730</x:v>
      </x:c>
      <x:c r="B10" s="8" t="n">
        <x:v>20878.935501079635</x:v>
      </x:c>
      <x:c r="C10" s="10" t="n">
        <x:f>B10/B9-1</x:f>
        <x:v>-0.03024087901368766</x:v>
      </x:c>
    </x:row>
    <x:row r="11">
      <x:c r="A11" s="6" t="n">
        <x:v>34758</x:v>
      </x:c>
      <x:c r="B11" s="8" t="n">
        <x:v>21136.832977099228</x:v>
      </x:c>
      <x:c r="C11" s="10" t="n">
        <x:f>B11/B10-1</x:f>
        <x:v>0.012352041415437887</x:v>
      </x:c>
    </x:row>
    <x:row r="12">
      <x:c r="A12" s="6" t="n">
        <x:v>34789</x:v>
      </x:c>
      <x:c r="B12" s="8" t="n">
        <x:v>21715.428571428565</x:v>
      </x:c>
      <x:c r="C12" s="10" t="n">
        <x:f>B12/B11-1</x:f>
        <x:v>0.027373807370111525</x:v>
      </x:c>
    </x:row>
    <x:row r="13">
      <x:c r="A13" s="6" t="n">
        <x:v>34819</x:v>
      </x:c>
      <x:c r="B13" s="8" t="n">
        <x:v>22405.8436383998</x:v>
      </x:c>
      <x:c r="C13" s="10" t="n">
        <x:f>B13/B12-1</x:f>
        <x:v>0.031793757360130126</x:v>
      </x:c>
    </x:row>
    <x:row r="14">
      <x:c r="A14" s="6" t="n">
        <x:v>34850</x:v>
      </x:c>
      <x:c r="B14" s="8" t="n">
        <x:v>22937.18886229053</x:v>
      </x:c>
      <x:c r="C14" s="10" t="n">
        <x:f>B14/B13-1</x:f>
        <x:v>0.02371458234137158</x:v>
      </x:c>
    </x:row>
    <x:row r="15">
      <x:c r="A15" s="6" t="n">
        <x:v>34880</x:v>
      </x:c>
      <x:c r="B15" s="8" t="n">
        <x:v>22835.80406320541</x:v>
      </x:c>
      <x:c r="C15" s="10" t="n">
        <x:f>B15/B14-1</x:f>
        <x:v>-0.004420105693588305</x:v>
      </x:c>
    </x:row>
    <x:row r="16">
      <x:c r="A16" s="6" t="n">
        <x:v>34911</x:v>
      </x:c>
      <x:c r="B16" s="8" t="n">
        <x:v>23934.672216649946</x:v>
      </x:c>
      <x:c r="C16" s="10" t="n">
        <x:f>B16/B15-1</x:f>
        <x:v>0.048120405587780635</x:v>
      </x:c>
    </x:row>
    <x:row r="17">
      <x:c r="A17" s="6" t="n">
        <x:v>34942</x:v>
      </x:c>
      <x:c r="B17" s="8" t="n">
        <x:v>23834.97870819505</x:v>
      </x:c>
      <x:c r="C17" s="10" t="n">
        <x:f>B17/B16-1</x:f>
        <x:v>-0.004165233914736666</x:v>
      </x:c>
    </x:row>
    <x:row r="18">
      <x:c r="A18" s="6" t="n">
        <x:v>34972</x:v>
      </x:c>
      <x:c r="B18" s="8" t="n">
        <x:v>24613.254958306603</x:v>
      </x:c>
      <x:c r="C18" s="10" t="n">
        <x:f>B18/B17-1</x:f>
        <x:v>0.03265269332269072</x:v>
      </x:c>
    </x:row>
    <x:row r="19">
      <x:c r="A19" s="6" t="n">
        <x:v>35003</x:v>
      </x:c>
      <x:c r="B19" s="8" t="n">
        <x:v>23911.97434564928</x:v>
      </x:c>
      <x:c r="C19" s="10" t="n">
        <x:f>B19/B18-1</x:f>
        <x:v>-0.028491989939780415</x:v>
      </x:c>
    </x:row>
    <x:row r="20">
      <x:c r="A20" s="6" t="n">
        <x:v>35033</x:v>
      </x:c>
      <x:c r="B20" s="8" t="n">
        <x:v>24907.2611328</x:v>
      </x:c>
      <x:c r="C20" s="10" t="n">
        <x:f>B20/B19-1</x:f>
        <x:v>0.041622944754112545</x:v>
      </x:c>
    </x:row>
    <x:row r="21">
      <x:c r="A21" s="6" t="n">
        <x:v>35064</x:v>
      </x:c>
      <x:c r="B21" s="8" t="n">
        <x:v>26023.687478091528</x:v>
      </x:c>
      <x:c r="C21" s="10" t="n">
        <x:f>B21/B20-1</x:f>
        <x:v>0.04482332839965797</x:v>
      </x:c>
    </x:row>
    <x:row r="22">
      <x:c r="A22" s="6" t="n">
        <x:v>35095</x:v>
      </x:c>
      <x:c r="B22" s="8" t="n">
        <x:v>26805.77237048665</x:v>
      </x:c>
      <x:c r="C22" s="10" t="n">
        <x:f>B22/B21-1</x:f>
        <x:v>0.03005280835214208</x:v>
      </x:c>
    </x:row>
    <x:row r="23">
      <x:c r="A23" s="6" t="n">
        <x:v>35124</x:v>
      </x:c>
      <x:c r="B23" s="8" t="n">
        <x:v>26791.205625</x:v>
      </x:c>
      <x:c r="C23" s="10" t="n">
        <x:f>B23/B22-1</x:f>
        <x:v>-0.0005434182341520488</x:v>
      </x:c>
    </x:row>
    <x:row r="24">
      <x:c r="A24" s="6" t="n">
        <x:v>35155</x:v>
      </x:c>
      <x:c r="B24" s="8" t="n">
        <x:v>27362.18201820444</x:v>
      </x:c>
      <x:c r="C24" s="10" t="n">
        <x:f>B24/B23-1</x:f>
        <x:v>0.02131208282286634</x:v>
      </x:c>
    </x:row>
    <x:row r="25">
      <x:c r="A25" s="6" t="n">
        <x:v>35185</x:v>
      </x:c>
      <x:c r="B25" s="8" t="n">
        <x:v>28235.538047493403</x:v>
      </x:c>
      <x:c r="C25" s="10" t="n">
        <x:f>B25/B24-1</x:f>
        <x:v>0.03191836194598463</x:v>
      </x:c>
    </x:row>
    <x:row r="26">
      <x:c r="A26" s="6" t="n">
        <x:v>35216</x:v>
      </x:c>
      <x:c r="B26" s="8" t="n">
        <x:v>28279.654593453004</x:v>
      </x:c>
      <x:c r="C26" s="10" t="n">
        <x:f>B26/B25-1</x:f>
        <x:v>0.0015624475044673236</x:v>
      </x:c>
    </x:row>
    <x:row r="27">
      <x:c r="A27" s="6" t="n">
        <x:v>35246</x:v>
      </x:c>
      <x:c r="B27" s="8" t="n">
        <x:v>27947.803217436423</x:v>
      </x:c>
      <x:c r="C27" s="10" t="n">
        <x:f>B27/B26-1</x:f>
        <x:v>-0.011734633282734941</x:v>
      </x:c>
    </x:row>
    <x:row r="28">
      <x:c r="A28" s="6" t="n">
        <x:v>35277</x:v>
      </x:c>
      <x:c r="B28" s="8" t="n">
        <x:v>26706.485717965224</x:v>
      </x:c>
      <x:c r="C28" s="10" t="n">
        <x:f>B28/B27-1</x:f>
        <x:v>-0.044415566039793464</x:v>
      </x:c>
    </x:row>
    <x:row r="29">
      <x:c r="A29" s="6" t="n">
        <x:v>35308</x:v>
      </x:c>
      <x:c r="B29" s="8" t="n">
        <x:v>27089.933337634684</x:v>
      </x:c>
      <x:c r="C29" s="10" t="n">
        <x:f>B29/B28-1</x:f>
        <x:v>0.014357846394275509</x:v>
      </x:c>
    </x:row>
    <x:row r="30">
      <x:c r="A30" s="6" t="n">
        <x:v>35338</x:v>
      </x:c>
      <x:c r="B30" s="8" t="n">
        <x:v>27920.954479574164</x:v>
      </x:c>
      <x:c r="C30" s="10" t="n">
        <x:f>B30/B29-1</x:f>
        <x:v>0.030676381945354825</x:v>
      </x:c>
    </x:row>
    <x:row r="31">
      <x:c r="A31" s="6" t="n">
        <x:v>35369</x:v>
      </x:c>
      <x:c r="B31" s="8" t="n">
        <x:v>27555.47253356868</x:v>
      </x:c>
      <x:c r="C31" s="10" t="n">
        <x:f>B31/B30-1</x:f>
        <x:v>-0.01308988008532641</x:v>
      </x:c>
    </x:row>
    <x:row r="32">
      <x:c r="A32" s="6" t="n">
        <x:v>35399</x:v>
      </x:c>
      <x:c r="B32" s="8" t="n">
        <x:v>27701.4297780184</x:v>
      </x:c>
      <x:c r="C32" s="10" t="n">
        <x:f>B32/B31-1</x:f>
        <x:v>0.005296851442917916</x:v>
      </x:c>
    </x:row>
    <x:row r="33">
      <x:c r="A33" s="6" t="n">
        <x:v>35430</x:v>
      </x:c>
      <x:c r="B33" s="8" t="n">
        <x:v>27273.94877095979</x:v>
      </x:c>
      <x:c r="C33" s="10" t="n">
        <x:f>B33/B32-1</x:f>
        <x:v>-0.015431730798163512</x:v>
      </x:c>
    </x:row>
    <x:row r="34">
      <x:c r="A34" s="6" t="n">
        <x:v>35461</x:v>
      </x:c>
      <x:c r="B34" s="8" t="n">
        <x:v>27821.798492613805</x:v>
      </x:c>
      <x:c r="C34" s="10" t="n">
        <x:f>B34/B33-1</x:f>
        <x:v>0.020086923468791706</x:v>
      </x:c>
    </x:row>
    <x:row r="35">
      <x:c r="A35" s="6" t="n">
        <x:v>35489</x:v>
      </x:c>
      <x:c r="B35" s="8" t="n">
        <x:v>28771.875</x:v>
      </x:c>
      <x:c r="C35" s="10" t="n">
        <x:f>B35/B34-1</x:f>
        <x:v>0.0341486373585238</x:v>
      </x:c>
    </x:row>
    <x:row r="36">
      <x:c r="A36" s="6" t="n">
        <x:v>35520</x:v>
      </x:c>
      <x:c r="B36" s="8" t="n">
        <x:v>28476.606560636174</x:v>
      </x:c>
      <x:c r="C36" s="10" t="n">
        <x:f>B36/B35-1</x:f>
        <x:v>-0.010262398240080906</x:v>
      </x:c>
    </x:row>
    <x:row r="37">
      <x:c r="A37" s="6" t="n">
        <x:v>35550</x:v>
      </x:c>
      <x:c r="B37" s="8" t="n">
        <x:v>29035.86197753637</x:v>
      </x:c>
      <x:c r="C37" s="10" t="n">
        <x:f>B37/B36-1</x:f>
        <x:v>0.019639117312287624</x:v>
      </x:c>
    </x:row>
    <x:row r="38">
      <x:c r="A38" s="6" t="n">
        <x:v>35581</x:v>
      </x:c>
      <x:c r="B38" s="8" t="n">
        <x:v>30713.688714618303</x:v>
      </x:c>
      <x:c r="C38" s="10" t="n">
        <x:f>B38/B37-1</x:f>
        <x:v>0.05778463674954737</x:v>
      </x:c>
    </x:row>
    <x:row r="39">
      <x:c r="A39" s="6" t="n">
        <x:v>35611</x:v>
      </x:c>
      <x:c r="B39" s="8" t="n">
        <x:v>32036.07543315703</x:v>
      </x:c>
      <x:c r="C39" s="10" t="n">
        <x:f>B39/B38-1</x:f>
        <x:v>0.04305528817544246</x:v>
      </x:c>
    </x:row>
    <x:row r="40">
      <x:c r="A40" s="6" t="n">
        <x:v>35642</x:v>
      </x:c>
      <x:c r="B40" s="8" t="n">
        <x:v>32993.22151671258</x:v>
      </x:c>
      <x:c r="C40" s="10" t="n">
        <x:f>B40/B39-1</x:f>
        <x:v>0.02987713290763816</x:v>
      </x:c>
    </x:row>
    <x:row r="41">
      <x:c r="A41" s="6" t="n">
        <x:v>35673</x:v>
      </x:c>
      <x:c r="B41" s="8" t="n">
        <x:v>31939.16228250702</x:v>
      </x:c>
      <x:c r="C41" s="10" t="n">
        <x:f>B41/B40-1</x:f>
        <x:v>-0.0319477512576829</x:v>
      </x:c>
    </x:row>
    <x:row r="42">
      <x:c r="A42" s="6" t="n">
        <x:v>35703</x:v>
      </x:c>
      <x:c r="B42" s="8" t="n">
        <x:v>33688.72760881783</x:v>
      </x:c>
      <x:c r="C42" s="10" t="n">
        <x:f>B42/B41-1</x:f>
        <x:v>0.05477805932527691</x:v>
      </x:c>
    </x:row>
    <x:row r="43">
      <x:c r="A43" s="6" t="n">
        <x:v>35734</x:v>
      </x:c>
      <x:c r="B43" s="8" t="n">
        <x:v>31067.761910594</x:v>
      </x:c>
      <x:c r="C43" s="10" t="n">
        <x:f>B43/B42-1</x:f>
        <x:v>-0.07779948618593158</x:v>
      </x:c>
    </x:row>
    <x:row r="44">
      <x:c r="A44" s="6" t="n">
        <x:v>35764</x:v>
      </x:c>
      <x:c r="B44" s="8" t="n">
        <x:v>30499.021801172355</x:v>
      </x:c>
      <x:c r="C44" s="10" t="n">
        <x:f>B44/B43-1</x:f>
        <x:v>-0.018306439680410458</x:v>
      </x:c>
    </x:row>
    <x:row r="45">
      <x:c r="A45" s="6" t="n">
        <x:v>35795</x:v>
      </x:c>
      <x:c r="B45" s="8" t="n">
        <x:v>31443.08499126348</x:v>
      </x:c>
      <x:c r="C45" s="10" t="n">
        <x:f>B45/B44-1</x:f>
        <x:v>0.0309538842342425</x:v>
      </x:c>
    </x:row>
    <x:row r="46">
      <x:c r="A46" s="6" t="n">
        <x:v>35826</x:v>
      </x:c>
      <x:c r="B46" s="8" t="n">
        <x:v>32620.758605504576</x:v>
      </x:c>
      <x:c r="C46" s="10" t="n">
        <x:f>B46/B45-1</x:f>
        <x:v>0.03745413704057077</x:v>
      </x:c>
    </x:row>
    <x:row r="47">
      <x:c r="A47" s="6" t="n">
        <x:v>35854</x:v>
      </x:c>
      <x:c r="B47" s="8" t="n">
        <x:v>34729.143832276925</x:v>
      </x:c>
      <x:c r="C47" s="10" t="n">
        <x:f>B47/B46-1</x:f>
        <x:v>0.06463323714417135</x:v>
      </x:c>
    </x:row>
    <x:row r="48">
      <x:c r="A48" s="6" t="n">
        <x:v>35885</x:v>
      </x:c>
      <x:c r="B48" s="8" t="n">
        <x:v>35751.22979722005</x:v>
      </x:c>
      <x:c r="C48" s="10" t="n">
        <x:f>B48/B47-1</x:f>
        <x:v>0.0294302091027423</x:v>
      </x:c>
    </x:row>
    <x:row r="49">
      <x:c r="A49" s="6" t="n">
        <x:v>35915</x:v>
      </x:c>
      <x:c r="B49" s="8" t="n">
        <x:v>35861.889852299224</x:v>
      </x:c>
      <x:c r="C49" s="10" t="n">
        <x:f>B49/B48-1</x:f>
        <x:v>0.003095279678680729</x:v>
      </x:c>
    </x:row>
    <x:row r="50">
      <x:c r="A50" s="6" t="n">
        <x:v>35946</x:v>
      </x:c>
      <x:c r="B50" s="8" t="n">
        <x:v>35913.7828348187</x:v>
      </x:c>
      <x:c r="C50" s="10" t="n">
        <x:f>B50/B49-1</x:f>
        <x:v>0.00144702308587763</x:v>
      </x:c>
    </x:row>
    <x:row r="51">
      <x:c r="A51" s="6" t="n">
        <x:v>35976</x:v>
      </x:c>
      <x:c r="B51" s="8" t="n">
        <x:v>36290.554726127</x:v>
      </x:c>
      <x:c r="C51" s="10" t="n">
        <x:f>B51/B50-1</x:f>
        <x:v>0.010491011014941432</x:v>
      </x:c>
    </x:row>
    <x:row r="52">
      <x:c r="A52" s="6" t="n">
        <x:v>36007</x:v>
      </x:c>
      <x:c r="B52" s="8" t="n">
        <x:v>36450.38612885564</x:v>
      </x:c>
      <x:c r="C52" s="10" t="n">
        <x:f>B52/B51-1</x:f>
        <x:v>0.004404214924099259</x:v>
      </x:c>
    </x:row>
    <x:row r="53">
      <x:c r="A53" s="6" t="n">
        <x:v>36038</x:v>
      </x:c>
      <x:c r="B53" s="8" t="n">
        <x:v>31525.81725614979</x:v>
      </x:c>
      <x:c r="C53" s="10" t="n">
        <x:f>B53/B52-1</x:f>
        <x:v>-0.13510333896867455</x:v>
      </x:c>
    </x:row>
    <x:row r="54">
      <x:c r="A54" s="6" t="n">
        <x:v>36068</x:v>
      </x:c>
      <x:c r="B54" s="8" t="n">
        <x:v>31233.63851869463</x:v>
      </x:c>
      <x:c r="C54" s="10" t="n">
        <x:f>B54/B53-1</x:f>
        <x:v>-0.009267919530243418</x:v>
      </x:c>
    </x:row>
    <x:row r="55">
      <x:c r="A55" s="6" t="n">
        <x:v>36099</x:v>
      </x:c>
      <x:c r="B55" s="8" t="n">
        <x:v>33842.72974504249</x:v>
      </x:c>
      <x:c r="C55" s="10" t="n">
        <x:f>B55/B54-1</x:f>
        <x:v>0.08353465526554671</x:v>
      </x:c>
    </x:row>
    <x:row r="56">
      <x:c r="A56" s="6" t="n">
        <x:v>36129</x:v>
      </x:c>
      <x:c r="B56" s="8" t="n">
        <x:v>36616.95560772981</x:v>
      </x:c>
      <x:c r="C56" s="10" t="n">
        <x:f>B56/B55-1</x:f>
        <x:v>0.08197405716345063</x:v>
      </x:c>
    </x:row>
    <x:row r="57">
      <x:c r="A57" s="6" t="n">
        <x:v>36160</x:v>
      </x:c>
      <x:c r="B57" s="8" t="n">
        <x:v>38095.0379698348</x:v>
      </x:c>
      <x:c r="C57" s="10" t="n">
        <x:f>B57/B56-1</x:f>
        <x:v>0.040366063687527376</x:v>
      </x:c>
    </x:row>
    <x:row r="58">
      <x:c r="A58" s="6" t="n">
        <x:v>36191</x:v>
      </x:c>
      <x:c r="B58" s="8" t="n">
        <x:v>39009.18234741276</x:v>
      </x:c>
      <x:c r="C58" s="10" t="n">
        <x:f>B58/B57-1</x:f>
        <x:v>0.02399641597159774</x:v>
      </x:c>
    </x:row>
    <x:row r="59">
      <x:c r="A59" s="6" t="n">
        <x:v>36219</x:v>
      </x:c>
      <x:c r="B59" s="8" t="n">
        <x:v>39081.62786135538</x:v>
      </x:c>
      <x:c r="C59" s="10" t="n">
        <x:f>B59/B58-1</x:f>
        <x:v>0.001857140026607862</x:v>
      </x:c>
    </x:row>
    <x:row r="60">
      <x:c r="A60" s="6" t="n">
        <x:v>36250</x:v>
      </x:c>
      <x:c r="B60" s="8" t="n">
        <x:v>40608.92305769517</x:v>
      </x:c>
      <x:c r="C60" s="10" t="n">
        <x:f>B60/B59-1</x:f>
        <x:v>0.03907962078135441</x:v>
      </x:c>
    </x:row>
    <x:row r="61">
      <x:c r="A61" s="6" t="n">
        <x:v>36280</x:v>
      </x:c>
      <x:c r="B61" s="8" t="n">
        <x:v>42350.100421856</x:v>
      </x:c>
      <x:c r="C61" s="10" t="n">
        <x:f>B61/B60-1</x:f>
        <x:v>0.04287671854008668</x:v>
      </x:c>
    </x:row>
    <x:row r="62">
      <x:c r="A62" s="6" t="n">
        <x:v>36311</x:v>
      </x:c>
      <x:c r="B62" s="8" t="n">
        <x:v>41108.36079445761</x:v>
      </x:c>
      <x:c r="C62" s="10" t="n">
        <x:f>B62/B61-1</x:f>
        <x:v>-0.029320818959795325</x:v>
      </x:c>
    </x:row>
    <x:row r="63">
      <x:c r="A63" s="6" t="n">
        <x:v>36341</x:v>
      </x:c>
      <x:c r="B63" s="8" t="n">
        <x:v>43951.03352531934</x:v>
      </x:c>
      <x:c r="C63" s="10" t="n">
        <x:f>B63/B62-1</x:f>
        <x:v>0.06915071960847907</x:v>
      </x:c>
    </x:row>
    <x:row r="64">
      <x:c r="A64" s="6" t="n">
        <x:v>36372</x:v>
      </x:c>
      <x:c r="B64" s="8" t="n">
        <x:v>42498.79312798147</x:v>
      </x:c>
      <x:c r="C64" s="10" t="n">
        <x:f>B64/B63-1</x:f>
        <x:v>-0.03304223543460616</x:v>
      </x:c>
    </x:row>
    <x:row r="65">
      <x:c r="A65" s="6" t="n">
        <x:v>36403</x:v>
      </x:c>
      <x:c r="B65" s="8" t="n">
        <x:v>42848.96190851367</x:v>
      </x:c>
      <x:c r="C65" s="10" t="n">
        <x:f>B65/B64-1</x:f>
        <x:v>0.008239499401258232</x:v>
      </x:c>
    </x:row>
    <x:row r="66">
      <x:c r="A66" s="6" t="n">
        <x:v>36433</x:v>
      </x:c>
      <x:c r="B66" s="8" t="n">
        <x:v>41319.40379098454</x:v>
      </x:c>
      <x:c r="C66" s="10" t="n">
        <x:f>B66/B65-1</x:f>
        <x:v>-0.03569650347177311</x:v>
      </x:c>
    </x:row>
    <x:row r="67">
      <x:c r="A67" s="6" t="n">
        <x:v>36464</x:v>
      </x:c>
      <x:c r="B67" s="8" t="n">
        <x:v>43731.591881926215</x:v>
      </x:c>
      <x:c r="C67" s="10" t="n">
        <x:f>B67/B66-1</x:f>
        <x:v>0.05837906333653309</x:v>
      </x:c>
    </x:row>
    <x:row r="68">
      <x:c r="A68" s="6" t="n">
        <x:v>36494</x:v>
      </x:c>
      <x:c r="B68" s="8" t="n">
        <x:v>46183.68952635456</x:v>
      </x:c>
      <x:c r="C68" s="10" t="n">
        <x:f>B68/B67-1</x:f>
        <x:v>0.056071538649883124</x:v>
      </x:c>
    </x:row>
    <x:row r="69">
      <x:c r="A69" s="6" t="n">
        <x:v>36525</x:v>
      </x:c>
      <x:c r="B69" s="8" t="n">
        <x:v>49426.53497923057</x:v>
      </x:c>
      <x:c r="C69" s="10" t="n">
        <x:f>B69/B68-1</x:f>
        <x:v>0.07021624920255665</x:v>
      </x:c>
    </x:row>
    <x:row r="70">
      <x:c r="A70" s="6" t="n">
        <x:v>36556</x:v>
      </x:c>
      <x:c r="B70" s="8" t="n">
        <x:v>46666.20152350284</x:v>
      </x:c>
      <x:c r="C70" s="10" t="n">
        <x:f>B70/B69-1</x:f>
        <x:v>-0.05584719739887989</x:v>
      </x:c>
    </x:row>
    <x:row r="71">
      <x:c r="A71" s="6" t="n">
        <x:v>36585</x:v>
      </x:c>
      <x:c r="B71" s="8" t="n">
        <x:v>47874.86221228733</x:v>
      </x:c>
      <x:c r="C71" s="10" t="n">
        <x:f>B71/B70-1</x:f>
        <x:v>0.02590013005827707</x:v>
      </x:c>
    </x:row>
    <x:row r="72">
      <x:c r="A72" s="6" t="n">
        <x:v>36616</x:v>
      </x:c>
      <x:c r="B72" s="8" t="n">
        <x:v>50621.72158354489</x:v>
      </x:c>
      <x:c r="C72" s="10" t="n">
        <x:f>B72/B71-1</x:f>
        <x:v>0.057375817795096706</x:v>
      </x:c>
    </x:row>
    <x:row r="73">
      <x:c r="A73" s="6" t="n">
        <x:v>36646</x:v>
      </x:c>
      <x:c r="B73" s="8" t="n">
        <x:v>49219.26156002623</x:v>
      </x:c>
      <x:c r="C73" s="10" t="n">
        <x:f>B73/B72-1</x:f>
        <x:v>-0.027704708169675185</x:v>
      </x:c>
    </x:row>
    <x:row r="74">
      <x:c r="A74" s="6" t="n">
        <x:v>36677</x:v>
      </x:c>
      <x:c r="B74" s="8" t="n">
        <x:v>50301.22516942666</x:v>
      </x:c>
      <x:c r="C74" s="10" t="n">
        <x:f>B74/B73-1</x:f>
        <x:v>0.021982524221353827</x:v>
      </x:c>
    </x:row>
    <x:row r="75">
      <x:c r="A75" s="6" t="n">
        <x:v>36707</x:v>
      </x:c>
      <x:c r="B75" s="8" t="n">
        <x:v>51426.37470904444</x:v>
      </x:c>
      <x:c r="C75" s="10" t="n">
        <x:f>B75/B74-1</x:f>
        <x:v>0.02236823329507387</x:v>
      </x:c>
    </x:row>
    <x:row r="76">
      <x:c r="A76" s="6" t="n">
        <x:v>36738</x:v>
      </x:c>
      <x:c r="B76" s="8" t="n">
        <x:v>50430.97506429225</x:v>
      </x:c>
      <x:c r="C76" s="10" t="n">
        <x:f>B76/B75-1</x:f>
        <x:v>-0.019355819856714973</x:v>
      </x:c>
    </x:row>
    <x:row r="77">
      <x:c r="A77" s="6" t="n">
        <x:v>36769</x:v>
      </x:c>
      <x:c r="B77" s="8" t="n">
        <x:v>53555.864202194</x:v>
      </x:c>
      <x:c r="C77" s="10" t="n">
        <x:f>B77/B76-1</x:f>
        <x:v>0.061963686681012264</x:v>
      </x:c>
    </x:row>
    <x:row r="78">
      <x:c r="A78" s="6" t="n">
        <x:v>36799</x:v>
      </x:c>
      <x:c r="B78" s="8" t="n">
        <x:v>50044.74898126168</x:v>
      </x:c>
      <x:c r="C78" s="10" t="n">
        <x:f>B78/B77-1</x:f>
        <x:v>-0.06555986488569232</x:v>
      </x:c>
    </x:row>
    <x:row r="79">
      <x:c r="A79" s="6" t="n">
        <x:v>36830</x:v>
      </x:c>
      <x:c r="B79" s="8" t="n">
        <x:v>49741.32712194907</x:v>
      </x:c>
      <x:c r="C79" s="10" t="n">
        <x:f>B79/B78-1</x:f>
        <x:v>-0.006063010915015599</x:v>
      </x:c>
    </x:row>
    <x:row r="80">
      <x:c r="A80" s="6" t="n">
        <x:v>36860</x:v>
      </x:c>
      <x:c r="B80" s="8" t="n">
        <x:v>47708.67754667996</x:v>
      </x:c>
      <x:c r="C80" s="10" t="n">
        <x:f>B80/B79-1</x:f>
        <x:v>-0.040864401753610946</x:v>
      </x:c>
    </x:row>
    <x:row r="81">
      <x:c r="A81" s="6" t="n">
        <x:v>36891</x:v>
      </x:c>
      <x:c r="B81" s="8" t="n">
        <x:v>46103.17880442796</x:v>
      </x:c>
      <x:c r="C81" s="10" t="n">
        <x:f>B81/B80-1</x:f>
        <x:v>-0.033652132584918504</x:v>
      </x:c>
    </x:row>
    <x:row r="82">
      <x:c r="A82" s="6" t="n">
        <x:v>36922</x:v>
      </x:c>
      <x:c r="B82" s="8" t="n">
        <x:v>48285.39214033431</x:v>
      </x:c>
      <x:c r="C82" s="10" t="n">
        <x:f>B82/B81-1</x:f>
        <x:v>0.04733325103597319</x:v>
      </x:c>
    </x:row>
    <x:row r="83">
      <x:c r="A83" s="6" t="n">
        <x:v>36950</x:v>
      </x:c>
      <x:c r="B83" s="8" t="n">
        <x:v>44577.48313489269</x:v>
      </x:c>
      <x:c r="C83" s="10" t="n">
        <x:f>B83/B82-1</x:f>
        <x:v>-0.07679152723177929</x:v>
      </x:c>
    </x:row>
    <x:row r="84">
      <x:c r="A84" s="6" t="n">
        <x:v>36981</x:v>
      </x:c>
      <x:c r="B84" s="8" t="n">
        <x:v>42205.89766896767</x:v>
      </x:c>
      <x:c r="C84" s="10" t="n">
        <x:f>B84/B83-1</x:f>
        <x:v>-0.053201421416021466</x:v>
      </x:c>
    </x:row>
    <x:row r="85">
      <x:c r="A85" s="6" t="n">
        <x:v>37011</x:v>
      </x:c>
      <x:c r="B85" s="8" t="n">
        <x:v>45077.46270350116</x:v>
      </x:c>
      <x:c r="C85" s="10" t="n">
        <x:f>B85/B84-1</x:f>
        <x:v>0.06803705626772705</x:v>
      </x:c>
    </x:row>
    <x:row r="86">
      <x:c r="A86" s="6" t="n">
        <x:v>37042</x:v>
      </x:c>
      <x:c r="B86" s="8" t="n">
        <x:v>44984.53825544767</x:v>
      </x:c>
      <x:c r="C86" s="10" t="n">
        <x:f>B86/B85-1</x:f>
        <x:v>-0.0020614391866885518</x:v>
      </x:c>
    </x:row>
    <x:row r="87">
      <x:c r="A87" s="6" t="n">
        <x:v>37072</x:v>
      </x:c>
      <x:c r="B87" s="8" t="n">
        <x:v>44029.767588404335</x:v>
      </x:c>
      <x:c r="C87" s="10" t="n">
        <x:f>B87/B86-1</x:f>
        <x:v>-0.02122441852401824</x:v>
      </x:c>
    </x:row>
    <x:row r="88">
      <x:c r="A88" s="6" t="n">
        <x:v>37103</x:v>
      </x:c>
      <x:c r="B88" s="8" t="n">
        <x:v>42754.13361871058</x:v>
      </x:c>
      <x:c r="C88" s="10" t="n">
        <x:f>B88/B87-1</x:f>
        <x:v>-0.028972080471069916</x:v>
      </x:c>
    </x:row>
    <x:row r="89">
      <x:c r="A89" s="6" t="n">
        <x:v>37134</x:v>
      </x:c>
      <x:c r="B89" s="8" t="n">
        <x:v>39895.74098484084</x:v>
      </x:c>
      <x:c r="C89" s="10" t="n">
        <x:f>B89/B88-1</x:f>
        <x:v>-0.06685652104101603</x:v>
      </x:c>
    </x:row>
    <x:row r="90">
      <x:c r="A90" s="6" t="n">
        <x:v>37164</x:v>
      </x:c>
      <x:c r="B90" s="8" t="n">
        <x:v>35982.650275086795</x:v>
      </x:c>
      <x:c r="C90" s="10" t="n">
        <x:f>B90/B89-1</x:f>
        <x:v>-0.09808291845590489</x:v>
      </x:c>
    </x:row>
    <x:row r="91">
      <x:c r="A91" s="6" t="n">
        <x:v>37195</x:v>
      </x:c>
      <x:c r="B91" s="8" t="n">
        <x:v>37067.20739272378</x:v>
      </x:c>
      <x:c r="C91" s="10" t="n">
        <x:f>B91/B90-1</x:f>
        <x:v>0.03014111271253128</x:v>
      </x:c>
    </x:row>
    <x:row r="92">
      <x:c r="A92" s="6" t="n">
        <x:v>37225</x:v>
      </x:c>
      <x:c r="B92" s="8" t="n">
        <x:v>40144.49226255751</x:v>
      </x:c>
      <x:c r="C92" s="10" t="n">
        <x:f>B92/B91-1</x:f>
        <x:v>0.08301906418873628</x:v>
      </x:c>
    </x:row>
    <x:row r="93">
      <x:c r="A93" s="6" t="n">
        <x:v>37256</x:v>
      </x:c>
      <x:c r="B93" s="8" t="n">
        <x:v>39908.13246904456</x:v>
      </x:c>
      <x:c r="C93" s="10" t="n">
        <x:f>B93/B92-1</x:f>
        <x:v>-0.005887726564508089</x:v>
      </x:c>
    </x:row>
    <x:row r="94">
      <x:c r="A94" s="6" t="n">
        <x:v>37287</x:v>
      </x:c>
      <x:c r="B94" s="8" t="n">
        <x:v>39774.81269658436</x:v>
      </x:c>
      <x:c r="C94" s="10" t="n">
        <x:f>B94/B93-1</x:f>
        <x:v>-0.0033406667817295066</x:v>
      </x:c>
    </x:row>
    <x:row r="95">
      <x:c r="A95" s="6" t="n">
        <x:v>37315</x:v>
      </x:c>
      <x:c r="B95" s="8" t="n">
        <x:v>39421.9727497168</x:v>
      </x:c>
      <x:c r="C95" s="10" t="n">
        <x:f>B95/B94-1</x:f>
        <x:v>-0.008870939243866394</x:v>
      </x:c>
    </x:row>
    <x:row r="96">
      <x:c r="A96" s="6" t="n">
        <x:v>37346</x:v>
      </x:c>
      <x:c r="B96" s="8" t="n">
        <x:v>40981.12281496661</x:v>
      </x:c>
      <x:c r="C96" s="10" t="n">
        <x:f>B96/B95-1</x:f>
        <x:v>0.03955028012293016</x:v>
      </x:c>
    </x:row>
    <x:row r="97">
      <x:c r="A97" s="6" t="n">
        <x:v>37376</x:v>
      </x:c>
      <x:c r="B97" s="8" t="n">
        <x:v>38795.69696231672</x:v>
      </x:c>
      <x:c r="C97" s="10" t="n">
        <x:f>B97/B96-1</x:f>
        <x:v>-0.053327622635360394</x:v>
      </x:c>
    </x:row>
    <x:row r="98">
      <x:c r="A98" s="6" t="n">
        <x:v>37407</x:v>
      </x:c>
      <x:c r="B98" s="8" t="n">
        <x:v>38589.324793307016</x:v>
      </x:c>
      <x:c r="C98" s="10" t="n">
        <x:f>B98/B97-1</x:f>
        <x:v>-0.0053194602795808565</x:v>
      </x:c>
    </x:row>
    <x:row r="99">
      <x:c r="A99" s="6" t="n">
        <x:v>37437</x:v>
      </x:c>
      <x:c r="B99" s="8" t="n">
        <x:v>34593.55865999933</x:v>
      </x:c>
      <x:c r="C99" s="10" t="n">
        <x:f>B99/B98-1</x:f>
        <x:v>-0.10354589396704639</x:v>
      </x:c>
    </x:row>
    <x:row r="100">
      <x:c r="A100" s="6" t="n">
        <x:v>37468</x:v>
      </x:c>
      <x:c r="B100" s="8" t="n">
        <x:v>31135.82754368112</x:v>
      </x:c>
      <x:c r="C100" s="10" t="n">
        <x:f>B100/B99-1</x:f>
        <x:v>-0.0999530331730919</x:v>
      </x:c>
    </x:row>
    <x:row r="101">
      <x:c r="A101" s="6" t="n">
        <x:v>37499</x:v>
      </x:c>
      <x:c r="B101" s="8" t="n">
        <x:v>31508.986319252544</x:v>
      </x:c>
      <x:c r="C101" s="10" t="n">
        <x:f>B101/B100-1</x:f>
        <x:v>0.011984867755575612</x:v>
      </x:c>
    </x:row>
    <x:row r="102">
      <x:c r="A102" s="6" t="n">
        <x:v>37529</x:v>
      </x:c>
      <x:c r="B102" s="8" t="n">
        <x:v>27725.128148376058</x:v>
      </x:c>
      <x:c r="C102" s="10" t="n">
        <x:f>B102/B101-1</x:f>
        <x:v>-0.1200882228497615</x:v>
      </x:c>
    </x:row>
    <x:row r="103">
      <x:c r="A103" s="6" t="n">
        <x:v>37560</x:v>
      </x:c>
      <x:c r="B103" s="8" t="n">
        <x:v>29901.206691124364</x:v>
      </x:c>
      <x:c r="C103" s="10" t="n">
        <x:f>B103/B102-1</x:f>
        <x:v>0.07848759187343068</x:v>
      </x:c>
    </x:row>
    <x:row r="104">
      <x:c r="A104" s="6" t="n">
        <x:v>37590</x:v>
      </x:c>
      <x:c r="B104" s="8" t="n">
        <x:v>31678.479124158697</x:v>
      </x:c>
      <x:c r="C104" s="10" t="n">
        <x:f>B104/B103-1</x:f>
        <x:v>0.05943815082091275</x:v>
      </x:c>
    </x:row>
    <x:row r="105">
      <x:c r="A105" s="6" t="n">
        <x:v>37621</x:v>
      </x:c>
      <x:c r="B105" s="8" t="n">
        <x:v>29048.42295883246</x:v>
      </x:c>
      <x:c r="C105" s="10" t="n">
        <x:f>B105/B104-1</x:f>
        <x:v>-0.08302343540604196</x:v>
      </x:c>
    </x:row>
    <x:row r="106">
      <x:c r="A106" s="6" t="n">
        <x:v>37652</x:v>
      </x:c>
      <x:c r="B106" s="8" t="n">
        <x:v>27561.40749715288</x:v>
      </x:c>
      <x:c r="C106" s="10" t="n">
        <x:f>B106/B105-1</x:f>
        <x:v>-0.051190918824990383</x:v>
      </x:c>
    </x:row>
    <x:row r="107">
      <x:c r="A107" s="6" t="n">
        <x:v>37680</x:v>
      </x:c>
      <x:c r="B107" s="8" t="n">
        <x:v>28344.458589191967</x:v>
      </x:c>
      <x:c r="C107" s="10" t="n">
        <x:f>B107/B106-1</x:f>
        <x:v>0.0284111430854892</x:v>
      </x:c>
    </x:row>
    <x:row r="108">
      <x:c r="A108" s="6" t="n">
        <x:v>37711</x:v>
      </x:c>
      <x:c r="B108" s="8" t="n">
        <x:v>28165.0021626225</x:v>
      </x:c>
      <x:c r="C108" s="10" t="n">
        <x:f>B108/B107-1</x:f>
        <x:v>-0.006331270220059748</x:v>
      </x:c>
    </x:row>
    <x:row r="109">
      <x:c r="A109" s="6" t="n">
        <x:v>37741</x:v>
      </x:c>
      <x:c r="B109" s="8" t="n">
        <x:v>30351.96641907053</x:v>
      </x:c>
      <x:c r="C109" s="10" t="n">
        <x:f>B109/B108-1</x:f>
        <x:v>0.0776482900239337</x:v>
      </x:c>
    </x:row>
    <x:row r="110">
      <x:c r="A110" s="6" t="n">
        <x:v>37772</x:v>
      </x:c>
      <x:c r="B110" s="8" t="n">
        <x:v>31221.476309588645</x:v>
      </x:c>
      <x:c r="C110" s="10" t="n">
        <x:f>B110/B109-1</x:f>
        <x:v>0.028647563670596066</x:v>
      </x:c>
    </x:row>
    <x:row r="111">
      <x:c r="A111" s="6" t="n">
        <x:v>37802</x:v>
      </x:c>
      <x:c r="B111" s="8" t="n">
        <x:v>31713.30520581032</x:v>
      </x:c>
      <x:c r="C111" s="10" t="n">
        <x:f>B111/B110-1</x:f>
        <x:v>0.015752903269043328</x:v>
      </x:c>
    </x:row>
    <x:row r="112">
      <x:c r="A112" s="6" t="n">
        <x:v>37833</x:v>
      </x:c>
      <x:c r="B112" s="8" t="n">
        <x:v>33140.028761366186</x:v>
      </x:c>
      <x:c r="C112" s="10" t="n">
        <x:f>B112/B111-1</x:f>
        <x:v>0.044988169675057144</x:v>
      </x:c>
    </x:row>
    <x:row r="113">
      <x:c r="A113" s="6" t="n">
        <x:v>37864</x:v>
      </x:c>
      <x:c r="B113" s="8" t="n">
        <x:v>34675.09277488576</x:v>
      </x:c>
      <x:c r="C113" s="10" t="n">
        <x:f>B113/B112-1</x:f>
        <x:v>0.04632053956782056</x:v>
      </x:c>
    </x:row>
    <x:row r="114">
      <x:c r="A114" s="6" t="n">
        <x:v>37894</x:v>
      </x:c>
      <x:c r="B114" s="8" t="n">
        <x:v>33008.769686380714</x:v>
      </x:c>
      <x:c r="C114" s="10" t="n">
        <x:f>B114/B113-1</x:f>
        <x:v>-0.04805533180034971</x:v>
      </x:c>
    </x:row>
    <x:row r="115">
      <x:c r="A115" s="6" t="n">
        <x:v>37925</x:v>
      </x:c>
      <x:c r="B115" s="8" t="n">
        <x:v>34483.56508368244</x:v>
      </x:c>
      <x:c r="C115" s="10" t="n">
        <x:f>B115/B114-1</x:f>
        <x:v>0.044678896284650715</x:v>
      </x:c>
    </x:row>
    <x:row r="116">
      <x:c r="A116" s="6" t="n">
        <x:v>37955</x:v>
      </x:c>
      <x:c r="B116" s="8" t="n">
        <x:v>34459.83401536753</x:v>
      </x:c>
      <x:c r="C116" s="10" t="n">
        <x:f>B116/B115-1</x:f>
        <x:v>-0.0006881848862587692</x:v>
      </x:c>
    </x:row>
    <x:row r="117">
      <x:c r="A117" s="6" t="n">
        <x:v>37986</x:v>
      </x:c>
      <x:c r="B117" s="8" t="n">
        <x:v>35183.98214916218</x:v>
      </x:c>
      <x:c r="C117" s="10" t="n">
        <x:f>B117/B116-1</x:f>
        <x:v>0.02101426644921478</x:v>
      </x:c>
    </x:row>
    <x:row r="118">
      <x:c r="A118" s="6" t="n">
        <x:v>38017</x:v>
      </x:c>
      <x:c r="B118" s="8" t="n">
        <x:v>35451.76477099539</x:v>
      </x:c>
      <x:c r="C118" s="10" t="n">
        <x:f>B118/B117-1</x:f>
        <x:v>0.007610924218240944</x:v>
      </x:c>
    </x:row>
    <x:row r="119">
      <x:c r="A119" s="6" t="n">
        <x:v>38046</x:v>
      </x:c>
      <x:c r="B119" s="8" t="n">
        <x:v>35239.22916499339</x:v>
      </x:c>
      <x:c r="C119" s="10" t="n">
        <x:f>B119/B118-1</x:f>
        <x:v>-0.005995064205545075</x:v>
      </x:c>
    </x:row>
    <x:row r="120">
      <x:c r="A120" s="6" t="n">
        <x:v>38077</x:v>
      </x:c>
      <x:c r="B120" s="8" t="n">
        <x:v>35389.96415582249</x:v>
      </x:c>
      <x:c r="C120" s="10" t="n">
        <x:f>B120/B119-1</x:f>
        <x:v>0.004277476959650306</x:v>
      </x:c>
    </x:row>
    <x:row r="121">
      <x:c r="A121" s="6" t="n">
        <x:v>38107</x:v>
      </x:c>
      <x:c r="B121" s="8" t="n">
        <x:v>35793.73036148652</x:v>
      </x:c>
      <x:c r="C121" s="10" t="n">
        <x:f>B121/B120-1</x:f>
        <x:v>0.011409059469126515</x:v>
      </x:c>
    </x:row>
    <x:row r="122">
      <x:c r="A122" s="6" t="n">
        <x:v>38138</x:v>
      </x:c>
      <x:c r="B122" s="8" t="n">
        <x:v>34883.26821905551</x:v>
      </x:c>
      <x:c r="C122" s="10" t="n">
        <x:f>B122/B121-1</x:f>
        <x:v>-0.025436358078247512</x:v>
      </x:c>
    </x:row>
    <x:row r="123">
      <x:c r="A123" s="6" t="n">
        <x:v>38168</x:v>
      </x:c>
      <x:c r="B123" s="8" t="n">
        <x:v>36036.51524343327</x:v>
      </x:c>
      <x:c r="C123" s="10" t="n">
        <x:f>B123/B122-1</x:f>
        <x:v>0.0330601770778971</x:v>
      </x:c>
    </x:row>
    <x:row r="124">
      <x:c r="A124" s="6" t="n">
        <x:v>38199</x:v>
      </x:c>
      <x:c r="B124" s="8" t="n">
        <x:v>34798.882014856004</x:v>
      </x:c>
      <x:c r="C124" s="10" t="n">
        <x:f>B124/B123-1</x:f>
        <x:v>-0.03434386538811607</x:v>
      </x:c>
    </x:row>
    <x:row r="125">
      <x:c r="A125" s="6" t="n">
        <x:v>38230</x:v>
      </x:c>
      <x:c r="B125" s="8" t="n">
        <x:v>35497.13498926444</x:v>
      </x:c>
      <x:c r="C125" s="10" t="n">
        <x:f>B125/B124-1</x:f>
        <x:v>0.02006538526468593</x:v>
      </x:c>
    </x:row>
    <x:row r="126">
      <x:c r="A126" s="6" t="n">
        <x:v>38260</x:v>
      </x:c>
      <x:c r="B126" s="8" t="n">
        <x:v>35966.35971234459</x:v>
      </x:c>
      <x:c r="C126" s="10" t="n">
        <x:f>B126/B125-1</x:f>
        <x:v>0.013218664639330857</x:v>
      </x:c>
    </x:row>
    <x:row r="127">
      <x:c r="A127" s="6" t="n">
        <x:v>38291</x:v>
      </x:c>
      <x:c r="B127" s="8" t="n">
        <x:v>36367.52784865444</x:v>
      </x:c>
      <x:c r="C127" s="10" t="n">
        <x:f>B127/B126-1</x:f>
        <x:v>0.011153982207773083</x:v>
      </x:c>
    </x:row>
    <x:row r="128">
      <x:c r="A128" s="6" t="n">
        <x:v>38321</x:v>
      </x:c>
      <x:c r="B128" s="8" t="n">
        <x:v>36805.18443918872</x:v>
      </x:c>
      <x:c r="C128" s="10" t="n">
        <x:f>B128/B127-1</x:f>
        <x:v>0.012034268382377089</x:v>
      </x:c>
    </x:row>
    <x:row r="129">
      <x:c r="A129" s="6" t="n">
        <x:v>38352</x:v>
      </x:c>
      <x:c r="B129" s="8" t="n">
        <x:v>37777.33589973004</x:v>
      </x:c>
      <x:c r="C129" s="10" t="n">
        <x:f>B129/B128-1</x:f>
        <x:v>0.02641343808907015</x:v>
      </x:c>
    </x:row>
    <x:row r="130">
      <x:c r="A130" s="6" t="n">
        <x:v>38383</x:v>
      </x:c>
      <x:c r="B130" s="8" t="n">
        <x:v>37887.555139948185</x:v>
      </x:c>
      <x:c r="C130" s="10" t="n">
        <x:f>B130/B129-1</x:f>
        <x:v>0.0029176022499493026</x:v>
      </x:c>
    </x:row>
    <x:row r="131">
      <x:c r="A131" s="6" t="n">
        <x:v>38411</x:v>
      </x:c>
      <x:c r="B131" s="8" t="n">
        <x:v>38480.13723963167</x:v>
      </x:c>
      <x:c r="C131" s="10" t="n">
        <x:f>B131/B130-1</x:f>
        <x:v>0.01564054733789555</x:v>
      </x:c>
    </x:row>
    <x:row r="132">
      <x:c r="A132" s="6" t="n">
        <x:v>38442</x:v>
      </x:c>
      <x:c r="B132" s="8" t="n">
        <x:v>38428.77691939747</x:v>
      </x:c>
      <x:c r="C132" s="10" t="n">
        <x:f>B132/B131-1</x:f>
        <x:v>-0.0013347228965001623</x:v>
      </x:c>
    </x:row>
    <x:row r="133">
      <x:c r="A133" s="6" t="n">
        <x:v>38472</x:v>
      </x:c>
      <x:c r="B133" s="8" t="n">
        <x:v>37025.96796376728</x:v>
      </x:c>
      <x:c r="C133" s="10" t="n">
        <x:f>B133/B132-1</x:f>
        <x:v>-0.036504127065311254</x:v>
      </x:c>
    </x:row>
    <x:row r="134">
      <x:c r="A134" s="6" t="n">
        <x:v>38503</x:v>
      </x:c>
      <x:c r="B134" s="8" t="n">
        <x:v>39637.83111687285</x:v>
      </x:c>
      <x:c r="C134" s="10" t="n">
        <x:f>B134/B133-1</x:f>
        <x:v>0.07054138748408878</x:v>
      </x:c>
    </x:row>
    <x:row r="135">
      <x:c r="A135" s="6" t="n">
        <x:v>38533</x:v>
      </x:c>
      <x:c r="B135" s="8" t="n">
        <x:v>40672.813828392544</x:v>
      </x:c>
      <x:c r="C135" s="10" t="n">
        <x:f>B135/B134-1</x:f>
        <x:v>0.026110982421516216</x:v>
      </x:c>
    </x:row>
    <x:row r="136">
      <x:c r="A136" s="6" t="n">
        <x:v>38564</x:v>
      </x:c>
      <x:c r="B136" s="8" t="n">
        <x:v>43128.92794270757</x:v>
      </x:c>
      <x:c r="C136" s="10" t="n">
        <x:f>B136/B135-1</x:f>
        <x:v>0.06038712061274887</x:v>
      </x:c>
    </x:row>
    <x:row r="137">
      <x:c r="A137" s="6" t="n">
        <x:v>38595</x:v>
      </x:c>
      <x:c r="B137" s="8" t="n">
        <x:v>42702.08414120595</x:v>
      </x:c>
      <x:c r="C137" s="10" t="n">
        <x:f>B137/B136-1</x:f>
        <x:v>-0.00989692584217794</x:v>
      </x:c>
    </x:row>
    <x:row r="138">
      <x:c r="A138" s="6" t="n">
        <x:v>38625</x:v>
      </x:c>
      <x:c r="B138" s="8" t="n">
        <x:v>44506.80154721451</x:v>
      </x:c>
      <x:c r="C138" s="10" t="n">
        <x:f>B138/B137-1</x:f>
        <x:v>0.042262981826385326</x:v>
      </x:c>
    </x:row>
    <x:row r="139">
      <x:c r="A139" s="6" t="n">
        <x:v>38656</x:v>
      </x:c>
      <x:c r="B139" s="8" t="n">
        <x:v>43047.605088755845</x:v>
      </x:c>
      <x:c r="C139" s="10" t="n">
        <x:f>B139/B138-1</x:f>
        <x:v>-0.03278592052746576</x:v>
      </x:c>
    </x:row>
    <x:row r="140">
      <x:c r="A140" s="6" t="n">
        <x:v>38686</x:v>
      </x:c>
      <x:c r="B140" s="8" t="n">
        <x:v>45971.25922465037</x:v>
      </x:c>
      <x:c r="C140" s="10" t="n">
        <x:f>B140/B139-1</x:f>
        <x:v>0.06791676633035726</x:v>
      </x:c>
    </x:row>
    <x:row r="141">
      <x:c r="A141" s="6" t="n">
        <x:v>38717</x:v>
      </x:c>
      <x:c r="B141" s="8" t="n">
        <x:v>47218.45911528448</x:v>
      </x:c>
      <x:c r="C141" s="10" t="n">
        <x:f>B141/B140-1</x:f>
        <x:v>0.027129991905145534</x:v>
      </x:c>
    </x:row>
    <x:row r="142">
      <x:c r="A142" s="6" t="n">
        <x:v>38748</x:v>
      </x:c>
      <x:c r="B142" s="8" t="n">
        <x:v>48170.3165604546</x:v>
      </x:c>
      <x:c r="C142" s="10" t="n">
        <x:f>B142/B141-1</x:f>
        <x:v>0.020158587616045498</x:v>
      </x:c>
    </x:row>
    <x:row r="143">
      <x:c r="A143" s="6" t="n">
        <x:v>38776</x:v>
      </x:c>
      <x:c r="B143" s="8" t="n">
        <x:v>48766.53000404668</x:v>
      </x:c>
      <x:c r="C143" s="10" t="n">
        <x:f>B143/B142-1</x:f>
        <x:v>0.012377195878375158</x:v>
      </x:c>
    </x:row>
    <x:row r="144">
      <x:c r="A144" s="6" t="n">
        <x:v>38807</x:v>
      </x:c>
      <x:c r="B144" s="8" t="n">
        <x:v>50078.9830144298</x:v>
      </x:c>
      <x:c r="C144" s="10" t="n">
        <x:f>B144/B143-1</x:f>
        <x:v>0.02691298745828763</x:v>
      </x:c>
    </x:row>
    <x:row r="145">
      <x:c r="A145" s="6" t="n">
        <x:v>38837</x:v>
      </x:c>
      <x:c r="B145" s="8" t="n">
        <x:v>49825.25398245066</x:v>
      </x:c>
      <x:c r="C145" s="10" t="n">
        <x:f>B145/B144-1</x:f>
        <x:v>-0.005066577168830189</x:v>
      </x:c>
    </x:row>
    <x:row r="146">
      <x:c r="A146" s="6" t="n">
        <x:v>38868</x:v>
      </x:c>
      <x:c r="B146" s="8" t="n">
        <x:v>46112.84102619598</x:v>
      </x:c>
      <x:c r="C146" s="10" t="n">
        <x:f>B146/B145-1</x:f>
        <x:v>-0.0745086609606096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24" hidden="0" customWidth="1"/>
  </x:cols>
  <x:sheetData>
    <x:row r="1">
      <x:c r="A1" s="3" t="str">
        <x:v>date</x:v>
      </x:c>
      <x:c r="B1" s="3" t="str">
        <x:v>Solactive_GBS_Global_Markets_Large_Mid_Cap_GBP_NTR_level</x:v>
      </x:c>
      <x:c r="C1" s="3" t="str">
        <x:v>monthly_return_GBP</x:v>
      </x:c>
    </x:row>
    <x:row r="2">
      <x:c r="A2" s="6" t="n">
        <x:v>38868</x:v>
      </x:c>
      <x:c r="B2" s="8" t="n">
        <x:v>386.58808662981846</x:v>
      </x:c>
      <x:c r="C2" s="10"/>
    </x:row>
    <x:row r="3">
      <x:c r="A3" s="6" t="n">
        <x:v>38898</x:v>
      </x:c>
      <x:c r="B3" s="8" t="n">
        <x:v>390.32331155000884</x:v>
      </x:c>
      <x:c r="C3" s="10" t="n">
        <x:f>B3/B2-1</x:f>
        <x:v>0.009662028007001444</x:v>
      </x:c>
    </x:row>
    <x:row r="4">
      <x:c r="A4" s="6" t="n">
        <x:v>38929</x:v>
      </x:c>
      <x:c r="B4" s="8" t="n">
        <x:v>389.6161545513887</x:v>
      </x:c>
      <x:c r="C4" s="10" t="n">
        <x:f>B4/B3-1</x:f>
        <x:v>-0.001811721149351686</x:v>
      </x:c>
    </x:row>
    <x:row r="5">
      <x:c r="A5" s="6" t="n">
        <x:v>38960</x:v>
      </x:c>
      <x:c r="B5" s="8" t="n">
        <x:v>392.34107378378394</x:v>
      </x:c>
      <x:c r="C5" s="10" t="n">
        <x:f>B5/B4-1</x:f>
        <x:v>0.00699385587728707</x:v>
      </x:c>
    </x:row>
    <x:row r="6">
      <x:c r="A6" s="6" t="n">
        <x:v>38990</x:v>
      </x:c>
      <x:c r="B6" s="8" t="n">
        <x:v>404.0060302050224</x:v>
      </x:c>
      <x:c r="C6" s="10" t="n">
        <x:f>B6/B5-1</x:f>
        <x:v>0.029731672773233297</x:v>
      </x:c>
    </x:row>
    <x:row r="7">
      <x:c r="A7" s="6" t="n">
        <x:v>39021</x:v>
      </x:c>
      <x:c r="B7" s="8" t="n">
        <x:v>410.1402325339086</x:v>
      </x:c>
      <x:c r="C7" s="10" t="n">
        <x:f>B7/B6-1</x:f>
        <x:v>0.015183442499046906</x:v>
      </x:c>
    </x:row>
    <x:row r="8">
      <x:c r="A8" s="6" t="n">
        <x:v>39051</x:v>
      </x:c>
      <x:c r="B8" s="8" t="n">
        <x:v>408.5241992961264</x:v>
      </x:c>
      <x:c r="C8" s="10" t="n">
        <x:f>B8/B7-1</x:f>
        <x:v>-0.003940196814631092</x:v>
      </x:c>
    </x:row>
    <x:row r="9">
      <x:c r="A9" s="6" t="n">
        <x:v>39082</x:v>
      </x:c>
      <x:c r="B9" s="8" t="n">
        <x:v>419.653517056041</x:v>
      </x:c>
      <x:c r="C9" s="10" t="n">
        <x:f>B9/B8-1</x:f>
        <x:v>0.027242738077915662</x:v>
      </x:c>
    </x:row>
    <x:row r="10">
      <x:c r="A10" s="6" t="n">
        <x:v>39113</x:v>
      </x:c>
      <x:c r="B10" s="8" t="n">
        <x:v>423.5773551644206</x:v>
      </x:c>
      <x:c r="C10" s="10" t="n">
        <x:f>B10/B9-1</x:f>
        <x:v>0.00935018520970865</x:v>
      </x:c>
    </x:row>
    <x:row r="11">
      <x:c r="A11" s="6" t="n">
        <x:v>39141</x:v>
      </x:c>
      <x:c r="B11" s="8" t="n">
        <x:v>420.68034776636614</x:v>
      </x:c>
      <x:c r="C11" s="10" t="n">
        <x:f>B11/B10-1</x:f>
        <x:v>-0.006839382140553685</x:v>
      </x:c>
    </x:row>
    <x:row r="12">
      <x:c r="A12" s="6" t="n">
        <x:v>39172</x:v>
      </x:c>
      <x:c r="B12" s="8" t="n">
        <x:v>428.2807184735366</x:v>
      </x:c>
      <x:c r="C12" s="10" t="n">
        <x:f>B12/B11-1</x:f>
        <x:v>0.018066854673685517</x:v>
      </x:c>
    </x:row>
    <x:row r="13">
      <x:c r="A13" s="6" t="n">
        <x:v>39202</x:v>
      </x:c>
      <x:c r="B13" s="8" t="n">
        <x:v>438.5535842036952</x:v>
      </x:c>
      <x:c r="C13" s="10" t="n">
        <x:f>B13/B12-1</x:f>
        <x:v>0.023986290503043906</x:v>
      </x:c>
    </x:row>
    <x:row r="14">
      <x:c r="A14" s="6" t="n">
        <x:v>39233</x:v>
      </x:c>
      <x:c r="B14" s="8" t="n">
        <x:v>457.05989995244</x:v>
      </x:c>
      <x:c r="C14" s="10" t="n">
        <x:f>B14/B13-1</x:f>
        <x:v>0.04219852810540292</x:v>
      </x:c>
    </x:row>
    <x:row r="15">
      <x:c r="A15" s="6" t="n">
        <x:v>39263</x:v>
      </x:c>
      <x:c r="B15" s="8" t="n">
        <x:v>449.64472346328057</x:v>
      </x:c>
      <x:c r="C15" s="10" t="n">
        <x:f>B15/B14-1</x:f>
        <x:v>-0.01622364265587728</x:v>
      </x:c>
    </x:row>
    <x:row r="16">
      <x:c r="A16" s="6" t="n">
        <x:v>39294</x:v>
      </x:c>
      <x:c r="B16" s="8" t="n">
        <x:v>437.3780282905982</x:v>
      </x:c>
      <x:c r="C16" s="10" t="n">
        <x:f>B16/B15-1</x:f>
        <x:v>-0.027280860938834306</x:v>
      </x:c>
    </x:row>
    <x:row r="17">
      <x:c r="A17" s="6" t="n">
        <x:v>39325</x:v>
      </x:c>
      <x:c r="B17" s="8" t="n">
        <x:v>439.32000335207886</x:v>
      </x:c>
      <x:c r="C17" s="10" t="n">
        <x:f>B17/B16-1</x:f>
        <x:v>0.004440037989723589</x:v>
      </x:c>
    </x:row>
    <x:row r="18">
      <x:c r="A18" s="6" t="n">
        <x:v>39355</x:v>
      </x:c>
      <x:c r="B18" s="8" t="n">
        <x:v>458.3767732995884</x:v>
      </x:c>
      <x:c r="C18" s="10" t="n">
        <x:f>B18/B17-1</x:f>
        <x:v>0.04337787899959822</x:v>
      </x:c>
    </x:row>
    <x:row r="19">
      <x:c r="A19" s="6" t="n">
        <x:v>39386</x:v>
      </x:c>
      <x:c r="B19" s="8" t="n">
        <x:v>466.9162211491648</x:v>
      </x:c>
      <x:c r="C19" s="10" t="n">
        <x:f>B19/B18-1</x:f>
        <x:v>0.018629756887780013</x:v>
      </x:c>
    </x:row>
    <x:row r="20">
      <x:c r="A20" s="6" t="n">
        <x:v>39416</x:v>
      </x:c>
      <x:c r="B20" s="8" t="n">
        <x:v>451.93201451280675</x:v>
      </x:c>
      <x:c r="C20" s="10" t="n">
        <x:f>B20/B19-1</x:f>
        <x:v>-0.03209185279423199</x:v>
      </x:c>
    </x:row>
    <x:row r="21">
      <x:c r="A21" s="6" t="n">
        <x:v>39447</x:v>
      </x:c>
      <x:c r="B21" s="8" t="n">
        <x:v>461.76497274664416</x:v>
      </x:c>
      <x:c r="C21" s="10" t="n">
        <x:f>B21/B20-1</x:f>
        <x:v>0.02175760494515444</x:v>
      </x:c>
    </x:row>
    <x:row r="22">
      <x:c r="A22" s="6" t="n">
        <x:v>39478</x:v>
      </x:c>
      <x:c r="B22" s="8" t="n">
        <x:v>424.8195809960016</x:v>
      </x:c>
      <x:c r="C22" s="10" t="n">
        <x:f>B22/B21-1</x:f>
        <x:v>-0.08000908239290239</x:v>
      </x:c>
    </x:row>
    <x:row r="23">
      <x:c r="A23" s="6" t="n">
        <x:v>39507</x:v>
      </x:c>
      <x:c r="B23" s="8" t="n">
        <x:v>425.63899418215533</x:v>
      </x:c>
      <x:c r="C23" s="10" t="n">
        <x:f>B23/B22-1</x:f>
        <x:v>0.0019288498525247277</x:v>
      </x:c>
    </x:row>
    <x:row r="24">
      <x:c r="A24" s="6" t="n">
        <x:v>39538</x:v>
      </x:c>
      <x:c r="B24" s="8" t="n">
        <x:v>419.53499275651393</x:v>
      </x:c>
      <x:c r="C24" s="10" t="n">
        <x:f>B24/B23-1</x:f>
        <x:v>-0.014340794685341107</x:v>
      </x:c>
    </x:row>
    <x:row r="25">
      <x:c r="A25" s="6" t="n">
        <x:v>39568</x:v>
      </x:c>
      <x:c r="B25" s="8" t="n">
        <x:v>444.65017786061617</x:v>
      </x:c>
      <x:c r="C25" s="10" t="n">
        <x:f>B25/B24-1</x:f>
        <x:v>0.059864339179636294</x:v>
      </x:c>
    </x:row>
    <x:row r="26">
      <x:c r="A26" s="6" t="n">
        <x:v>39599</x:v>
      </x:c>
      <x:c r="B26" s="8" t="n">
        <x:v>452.675070698303</x:v>
      </x:c>
      <x:c r="C26" s="10" t="n">
        <x:f>B26/B25-1</x:f>
        <x:v>0.01804765462210689</x:v>
      </x:c>
    </x:row>
    <x:row r="27">
      <x:c r="A27" s="6" t="n">
        <x:v>39629</x:v>
      </x:c>
      <x:c r="B27" s="8" t="n">
        <x:v>412.31469756753904</x:v>
      </x:c>
      <x:c r="C27" s="10" t="n">
        <x:f>B27/B26-1</x:f>
        <x:v>-0.08915969918224886</x:v>
      </x:c>
    </x:row>
    <x:row r="28">
      <x:c r="A28" s="6" t="n">
        <x:v>39660</x:v>
      </x:c>
      <x:c r="B28" s="8" t="n">
        <x:v>403.98323707049803</x:v>
      </x:c>
      <x:c r="C28" s="10" t="n">
        <x:f>B28/B27-1</x:f>
        <x:v>-0.020206557142378512</x:v>
      </x:c>
    </x:row>
    <x:row r="29">
      <x:c r="A29" s="6" t="n">
        <x:v>39691</x:v>
      </x:c>
      <x:c r="B29" s="8" t="n">
        <x:v>429.21979561594253</x:v>
      </x:c>
      <x:c r="C29" s="10" t="n">
        <x:f>B29/B28-1</x:f>
        <x:v>0.06246932107492498</x:v>
      </x:c>
    </x:row>
    <x:row r="30">
      <x:c r="A30" s="6" t="n">
        <x:v>39721</x:v>
      </x:c>
      <x:c r="B30" s="8" t="n">
        <x:v>384.92646712298847</x:v>
      </x:c>
      <x:c r="C30" s="10" t="n">
        <x:f>B30/B29-1</x:f>
        <x:v>-0.10319498062616583</x:v>
      </x:c>
    </x:row>
    <x:row r="31">
      <x:c r="A31" s="6" t="n">
        <x:v>39752</x:v>
      </x:c>
      <x:c r="B31" s="8" t="n">
        <x:v>341.38702155442934</x:v>
      </x:c>
      <x:c r="C31" s="10" t="n">
        <x:f>B31/B30-1</x:f>
        <x:v>-0.11311107260038777</x:v>
      </x:c>
    </x:row>
    <x:row r="32">
      <x:c r="A32" s="6" t="n">
        <x:v>39782</x:v>
      </x:c>
      <x:c r="B32" s="8" t="n">
        <x:v>336.2796499358683</x:v>
      </x:c>
      <x:c r="C32" s="10" t="n">
        <x:f>B32/B31-1</x:f>
        <x:v>-0.014960649632507317</x:v>
      </x:c>
    </x:row>
    <x:row r="33">
      <x:c r="A33" s="6" t="n">
        <x:v>39813</x:v>
      </x:c>
      <x:c r="B33" s="8" t="n">
        <x:v>371.8397889357884</x:v>
      </x:c>
      <x:c r="C33" s="10" t="n">
        <x:f>B33/B32-1</x:f>
        <x:v>0.10574573574910584</x:v>
      </x:c>
    </x:row>
    <x:row r="34">
      <x:c r="A34" s="6" t="n">
        <x:v>39844</x:v>
      </x:c>
      <x:c r="B34" s="8" t="n">
        <x:v>338.8849052120104</x:v>
      </x:c>
      <x:c r="C34" s="10" t="n">
        <x:f>B34/B33-1</x:f>
        <x:v>-0.08862656634486443</x:v>
      </x:c>
    </x:row>
    <x:row r="35">
      <x:c r="A35" s="6" t="n">
        <x:v>39872</x:v>
      </x:c>
      <x:c r="B35" s="8" t="n">
        <x:v>309.1011163289422</x:v>
      </x:c>
      <x:c r="C35" s="10" t="n">
        <x:f>B35/B34-1</x:f>
        <x:v>-0.08788762327562238</x:v>
      </x:c>
    </x:row>
    <x:row r="36">
      <x:c r="A36" s="6" t="n">
        <x:v>39903</x:v>
      </x:c>
      <x:c r="B36" s="8" t="n">
        <x:v>332.98319285527305</x:v>
      </x:c>
      <x:c r="C36" s="10" t="n">
        <x:f>B36/B35-1</x:f>
        <x:v>0.07726299021487759</x:v>
      </x:c>
    </x:row>
    <x:row r="37">
      <x:c r="A37" s="6" t="n">
        <x:v>39933</x:v>
      </x:c>
      <x:c r="B37" s="8" t="n">
        <x:v>359.5064238446221</x:v>
      </x:c>
      <x:c r="C37" s="10" t="n">
        <x:f>B37/B36-1</x:f>
        <x:v>0.07965336256739253</x:v>
      </x:c>
    </x:row>
    <x:row r="38">
      <x:c r="A38" s="6" t="n">
        <x:v>39964</x:v>
      </x:c>
      <x:c r="B38" s="8" t="n">
        <x:v>363.71973476146195</x:v>
      </x:c>
      <x:c r="C38" s="10" t="n">
        <x:f>B38/B37-1</x:f>
        <x:v>0.011719709683576829</x:v>
      </x:c>
    </x:row>
    <x:row r="39">
      <x:c r="A39" s="6" t="n">
        <x:v>39994</x:v>
      </x:c>
      <x:c r="B39" s="8" t="n">
        <x:v>354.0412000140277</x:v>
      </x:c>
      <x:c r="C39" s="10" t="n">
        <x:f>B39/B38-1</x:f>
        <x:v>-0.026609869694812383</x:v>
      </x:c>
    </x:row>
    <x:row r="40">
      <x:c r="A40" s="6" t="n">
        <x:v>40025</x:v>
      </x:c>
      <x:c r="B40" s="8" t="n">
        <x:v>382.46993704961824</x:v>
      </x:c>
      <x:c r="C40" s="10" t="n">
        <x:f>B40/B39-1</x:f>
        <x:v>0.08029782136786379</x:v>
      </x:c>
    </x:row>
    <x:row r="41">
      <x:c r="A41" s="6" t="n">
        <x:v>40056</x:v>
      </x:c>
      <x:c r="B41" s="8" t="n">
        <x:v>402.7250560447492</x:v>
      </x:c>
      <x:c r="C41" s="10" t="n">
        <x:f>B41/B40-1</x:f>
        <x:v>0.05295872180537731</x:v>
      </x:c>
    </x:row>
    <x:row r="42">
      <x:c r="A42" s="6" t="n">
        <x:v>40086</x:v>
      </x:c>
      <x:c r="B42" s="8" t="n">
        <x:v>429.18161711561424</x:v>
      </x:c>
      <x:c r="C42" s="10" t="n">
        <x:f>B42/B41-1</x:f>
        <x:v>0.06569385409167428</x:v>
      </x:c>
    </x:row>
    <x:row r="43">
      <x:c r="A43" s="6" t="n">
        <x:v>40117</x:v>
      </x:c>
      <x:c r="B43" s="8" t="n">
        <x:v>410.2222878181965</x:v>
      </x:c>
      <x:c r="C43" s="10" t="n">
        <x:f>B43/B42-1</x:f>
        <x:v>-0.04417553907559468</x:v>
      </x:c>
    </x:row>
    <x:row r="44">
      <x:c r="A44" s="6" t="n">
        <x:v>40147</x:v>
      </x:c>
      <x:c r="B44" s="8" t="n">
        <x:v>429.0847462938855</x:v>
      </x:c>
      <x:c r="C44" s="10" t="n">
        <x:f>B44/B43-1</x:f>
        <x:v>0.04598106693814863</x:v>
      </x:c>
    </x:row>
    <x:row r="45">
      <x:c r="A45" s="6" t="n">
        <x:v>40178</x:v>
      </x:c>
      <x:c r="B45" s="8" t="n">
        <x:v>444.84448933243675</x:v>
      </x:c>
      <x:c r="C45" s="10" t="n">
        <x:f>B45/B44-1</x:f>
        <x:v>0.03672874222323719</x:v>
      </x:c>
    </x:row>
    <x:row r="46">
      <x:c r="A46" s="6" t="n">
        <x:v>40209</x:v>
      </x:c>
      <x:c r="B46" s="8" t="n">
        <x:v>428.892144307154</x:v>
      </x:c>
      <x:c r="C46" s="10" t="n">
        <x:f>B46/B45-1</x:f>
        <x:v>-0.035860498236635174</x:v>
      </x:c>
    </x:row>
    <x:row r="47">
      <x:c r="A47" s="6" t="n">
        <x:v>40237</x:v>
      </x:c>
      <x:c r="B47" s="8" t="n">
        <x:v>456.9476437649073</x:v>
      </x:c>
      <x:c r="C47" s="10" t="n">
        <x:f>B47/B46-1</x:f>
        <x:v>0.06541388045956187</x:v>
      </x:c>
    </x:row>
    <x:row r="48">
      <x:c r="A48" s="6" t="n">
        <x:v>40268</x:v>
      </x:c>
      <x:c r="B48" s="8" t="n">
        <x:v>488.0044292111643</x:v>
      </x:c>
      <x:c r="C48" s="10" t="n">
        <x:f>B48/B47-1</x:f>
        <x:v>0.06796574152428558</x:v>
      </x:c>
    </x:row>
    <x:row r="49">
      <x:c r="A49" s="6" t="n">
        <x:v>40298</x:v>
      </x:c>
      <x:c r="B49" s="8" t="n">
        <x:v>484.32846644073743</x:v>
      </x:c>
      <x:c r="C49" s="10" t="n">
        <x:f>B49/B48-1</x:f>
        <x:v>-0.007532642226975028</x:v>
      </x:c>
    </x:row>
    <x:row r="50">
      <x:c r="A50" s="6" t="n">
        <x:v>40329</x:v>
      </x:c>
      <x:c r="B50" s="8" t="n">
        <x:v>461.9803678679</x:v>
      </x:c>
      <x:c r="C50" s="10" t="n">
        <x:f>B50/B49-1</x:f>
        <x:v>-0.04614244282825353</x:v>
      </x:c>
    </x:row>
    <x:row r="51">
      <x:c r="A51" s="6" t="n">
        <x:v>40359</x:v>
      </x:c>
      <x:c r="B51" s="8" t="n">
        <x:v>434.6451314611195</x:v>
      </x:c>
      <x:c r="C51" s="10" t="n">
        <x:f>B51/B50-1</x:f>
        <x:v>-0.05916969271429473</x:v>
      </x:c>
    </x:row>
    <x:row r="52">
      <x:c r="A52" s="6" t="n">
        <x:v>40390</x:v>
      </x:c>
      <x:c r="B52" s="8" t="n">
        <x:v>448.92275092721957</x:v>
      </x:c>
      <x:c r="C52" s="10" t="n">
        <x:f>B52/B51-1</x:f>
        <x:v>0.03284891152031055</x:v>
      </x:c>
    </x:row>
    <x:row r="53">
      <x:c r="A53" s="6" t="n">
        <x:v>40421</x:v>
      </x:c>
      <x:c r="B53" s="8" t="n">
        <x:v>441.2790732644535</x:v>
      </x:c>
      <x:c r="C53" s="10" t="n">
        <x:f>B53/B52-1</x:f>
        <x:v>-0.017026710379410726</x:v>
      </x:c>
    </x:row>
    <x:row r="54">
      <x:c r="A54" s="6" t="n">
        <x:v>40451</x:v>
      </x:c>
      <x:c r="B54" s="8" t="n">
        <x:v>471.2189951190139</x:v>
      </x:c>
      <x:c r="C54" s="10" t="n">
        <x:f>B54/B53-1</x:f>
        <x:v>0.06784804371771735</x:v>
      </x:c>
    </x:row>
    <x:row r="55">
      <x:c r="A55" s="6" t="n">
        <x:v>40482</x:v>
      </x:c>
      <x:c r="B55" s="8" t="n">
        <x:v>481.24512516794584</x:v>
      </x:c>
      <x:c r="C55" s="10" t="n">
        <x:f>B55/B54-1</x:f>
        <x:v>0.02127700740586591</x:v>
      </x:c>
    </x:row>
    <x:row r="56">
      <x:c r="A56" s="6" t="n">
        <x:v>40512</x:v>
      </x:c>
      <x:c r="B56" s="8" t="n">
        <x:v>483.16601657999126</x:v>
      </x:c>
      <x:c r="C56" s="10" t="n">
        <x:f>B56/B55-1</x:f>
        <x:v>0.003991503106395289</x:v>
      </x:c>
    </x:row>
    <x:row r="57">
      <x:c r="A57" s="6" t="n">
        <x:v>40543</x:v>
      </x:c>
      <x:c r="B57" s="8" t="n">
        <x:v>515.7721653455465</x:v>
      </x:c>
      <x:c r="C57" s="10" t="n">
        <x:f>B57/B56-1</x:f>
        <x:v>0.06748435868141622</x:v>
      </x:c>
    </x:row>
    <x:row r="58">
      <x:c r="A58" s="6" t="n">
        <x:v>40574</x:v>
      </x:c>
      <x:c r="B58" s="8" t="n">
        <x:v>512.473428951499</x:v>
      </x:c>
      <x:c r="C58" s="10" t="n">
        <x:f>B58/B57-1</x:f>
        <x:v>-0.006395723956598931</x:v>
      </x:c>
    </x:row>
    <x:row r="59">
      <x:c r="A59" s="6" t="n">
        <x:v>40602</x:v>
      </x:c>
      <x:c r="B59" s="8" t="n">
        <x:v>519.4481281159733</x:v>
      </x:c>
      <x:c r="C59" s="10" t="n">
        <x:f>B59/B58-1</x:f>
        <x:v>0.013609874718274018</x:v>
      </x:c>
    </x:row>
    <x:row r="60">
      <x:c r="A60" s="6" t="n">
        <x:v>40633</x:v>
      </x:c>
      <x:c r="B60" s="8" t="n">
        <x:v>526.1025837403795</x:v>
      </x:c>
      <x:c r="C60" s="10" t="n">
        <x:f>B60/B59-1</x:f>
        <x:v>0.012810625862762715</x:v>
      </x:c>
    </x:row>
    <x:row r="61">
      <x:c r="A61" s="6" t="n">
        <x:v>40663</x:v>
      </x:c>
      <x:c r="B61" s="8" t="n">
        <x:v>526.0666845535034</x:v>
      </x:c>
      <x:c r="C61" s="10" t="n">
        <x:f>B61/B60-1</x:f>
        <x:v>-0.00006823609688610954</x:v>
      </x:c>
    </x:row>
    <x:row r="62">
      <x:c r="A62" s="6" t="n">
        <x:v>40694</x:v>
      </x:c>
      <x:c r="B62" s="8" t="n">
        <x:v>521.509767133708</x:v>
      </x:c>
      <x:c r="C62" s="10" t="n">
        <x:f>B62/B61-1</x:f>
        <x:v>-0.008662242931545827</x:v>
      </x:c>
    </x:row>
    <x:row r="63">
      <x:c r="A63" s="6" t="n">
        <x:v>40724</x:v>
      </x:c>
      <x:c r="B63" s="8" t="n">
        <x:v>526.4456204149719</x:v>
      </x:c>
      <x:c r="C63" s="10" t="n">
        <x:f>B63/B62-1</x:f>
        <x:v>0.009464546193242107</x:v>
      </x:c>
    </x:row>
    <x:row r="64">
      <x:c r="A64" s="6" t="n">
        <x:v>40755</x:v>
      </x:c>
      <x:c r="B64" s="8" t="n">
        <x:v>506.6457942819661</x:v>
      </x:c>
      <x:c r="C64" s="10" t="n">
        <x:f>B64/B63-1</x:f>
        <x:v>-0.037610391966787615</x:v>
      </x:c>
    </x:row>
    <x:row r="65">
      <x:c r="A65" s="6" t="n">
        <x:v>40786</x:v>
      </x:c>
      <x:c r="B65" s="8" t="n">
        <x:v>473.504006855087</x:v>
      </x:c>
      <x:c r="C65" s="10" t="n">
        <x:f>B65/B64-1</x:f>
        <x:v>-0.06541411732006708</x:v>
      </x:c>
    </x:row>
    <x:row r="66">
      <x:c r="A66" s="6" t="n">
        <x:v>40816</x:v>
      </x:c>
      <x:c r="B66" s="8" t="n">
        <x:v>448.8862819119804</x:v>
      </x:c>
      <x:c r="C66" s="10" t="n">
        <x:f>B66/B65-1</x:f>
        <x:v>-0.051990531414110586</x:v>
      </x:c>
    </x:row>
    <x:row r="67">
      <x:c r="A67" s="6" t="n">
        <x:v>40847</x:v>
      </x:c>
      <x:c r="B67" s="8" t="n">
        <x:v>479.3031501064643</x:v>
      </x:c>
      <x:c r="C67" s="10" t="n">
        <x:f>B67/B66-1</x:f>
        <x:v>0.06776074346697936</x:v>
      </x:c>
    </x:row>
    <x:row r="68">
      <x:c r="A68" s="6" t="n">
        <x:v>40877</x:v>
      </x:c>
      <x:c r="B68" s="8" t="n">
        <x:v>477.3155887759349</x:v>
      </x:c>
      <x:c r="C68" s="10" t="n">
        <x:f>B68/B67-1</x:f>
        <x:v>-0.004146772935015974</x:v>
      </x:c>
    </x:row>
    <x:row r="69">
      <x:c r="A69" s="6" t="n">
        <x:v>40908</x:v>
      </x:c>
      <x:c r="B69" s="8" t="n">
        <x:v>482.33292751312365</x:v>
      </x:c>
      <x:c r="C69" s="10" t="n">
        <x:f>B69/B68-1</x:f>
        <x:v>0.010511575266283657</x:v>
      </x:c>
    </x:row>
    <x:row r="70">
      <x:c r="A70" s="6" t="n">
        <x:v>40939</x:v>
      </x:c>
      <x:c r="B70" s="8" t="n">
        <x:v>502.3789194989931</x:v>
      </x:c>
      <x:c r="C70" s="10" t="n">
        <x:f>B70/B69-1</x:f>
        <x:v>0.041560488290163455</x:v>
      </x:c>
    </x:row>
    <x:row r="71">
      <x:c r="A71" s="6" t="n">
        <x:v>40968</x:v>
      </x:c>
      <x:c r="B71" s="8" t="n">
        <x:v>520.9593129349423</x:v>
      </x:c>
      <x:c r="C71" s="10" t="n">
        <x:f>B71/B70-1</x:f>
        <x:v>0.03698481905745332</x:v>
      </x:c>
    </x:row>
    <x:row r="72">
      <x:c r="A72" s="6" t="n">
        <x:v>40999</x:v>
      </x:c>
      <x:c r="B72" s="8" t="n">
        <x:v>524.347512381999</x:v>
      </x:c>
      <x:c r="C72" s="10" t="n">
        <x:f>B72/B71-1</x:f>
        <x:v>0.006503769801078141</x:v>
      </x:c>
    </x:row>
    <x:row r="73">
      <x:c r="A73" s="6" t="n">
        <x:v>41029</x:v>
      </x:c>
      <x:c r="B73" s="8" t="n">
        <x:v>509.919458228037</x:v>
      </x:c>
      <x:c r="C73" s="10" t="n">
        <x:f>B73/B72-1</x:f>
        <x:v>-0.02751620597648763</x:v>
      </x:c>
    </x:row>
    <x:row r="74">
      <x:c r="A74" s="6" t="n">
        <x:v>41060</x:v>
      </x:c>
      <x:c r="B74" s="8" t="n">
        <x:v>490.0814535947029</x:v>
      </x:c>
      <x:c r="C74" s="10" t="n">
        <x:f>B74/B73-1</x:f>
        <x:v>-0.03890419224689112</x:v>
      </x:c>
    </x:row>
    <x:row r="75">
      <x:c r="A75" s="6" t="n">
        <x:v>41090</x:v>
      </x:c>
      <x:c r="B75" s="8" t="n">
        <x:v>504.7249028699198</x:v>
      </x:c>
      <x:c r="C75" s="10" t="n">
        <x:f>B75/B74-1</x:f>
        <x:v>0.029879623413227474</x:v>
      </x:c>
    </x:row>
    <x:row r="76">
      <x:c r="A76" s="6" t="n">
        <x:v>41121</x:v>
      </x:c>
      <x:c r="B76" s="8" t="n">
        <x:v>512.153185411431</x:v>
      </x:c>
      <x:c r="C76" s="10" t="n">
        <x:f>B76/B75-1</x:f>
        <x:v>0.014717487683435504</x:v>
      </x:c>
    </x:row>
    <x:row r="77">
      <x:c r="A77" s="6" t="n">
        <x:v>41152</x:v>
      </x:c>
      <x:c r="B77" s="8" t="n">
        <x:v>516.4046748285991</x:v>
      </x:c>
      <x:c r="C77" s="10" t="n">
        <x:f>B77/B76-1</x:f>
        <x:v>0.008301206627764568</x:v>
      </x:c>
    </x:row>
    <x:row r="78">
      <x:c r="A78" s="6" t="n">
        <x:v>41182</x:v>
      </x:c>
      <x:c r="B78" s="8" t="n">
        <x:v>523.9531911547265</x:v>
      </x:c>
      <x:c r="C78" s="10" t="n">
        <x:f>B78/B77-1</x:f>
        <x:v>0.014617443826651533</x:v>
      </x:c>
    </x:row>
    <x:row r="79">
      <x:c r="A79" s="6" t="n">
        <x:v>41213</x:v>
      </x:c>
      <x:c r="B79" s="8" t="n">
        <x:v>521.2795564750113</x:v>
      </x:c>
      <x:c r="C79" s="10" t="n">
        <x:f>B79/B78-1</x:f>
        <x:v>-0.005102812092474984</x:v>
      </x:c>
    </x:row>
    <x:row r="80">
      <x:c r="A80" s="6" t="n">
        <x:v>41243</x:v>
      </x:c>
      <x:c r="B80" s="8" t="n">
        <x:v>530.5409768606487</x:v>
      </x:c>
      <x:c r="C80" s="10" t="n">
        <x:f>B80/B79-1</x:f>
        <x:v>0.017766705543307282</x:v>
      </x:c>
    </x:row>
    <x:row r="81">
      <x:c r="A81" s="6" t="n">
        <x:v>41274</x:v>
      </x:c>
      <x:c r="B81" s="8" t="n">
        <x:v>534.9104207489809</x:v>
      </x:c>
      <x:c r="C81" s="10" t="n">
        <x:f>B81/B80-1</x:f>
        <x:v>0.008235827351522174</x:v>
      </x:c>
    </x:row>
    <x:row r="82">
      <x:c r="A82" s="6" t="n">
        <x:v>41305</x:v>
      </x:c>
      <x:c r="B82" s="8" t="n">
        <x:v>573.7596090607758</x:v>
      </x:c>
      <x:c r="C82" s="10" t="n">
        <x:f>B82/B81-1</x:f>
        <x:v>0.07262746584259538</x:v>
      </x:c>
    </x:row>
    <x:row r="83">
      <x:c r="A83" s="6" t="n">
        <x:v>41333</x:v>
      </x:c>
      <x:c r="B83" s="8" t="n">
        <x:v>598.958558934256</x:v>
      </x:c>
      <x:c r="C83" s="10" t="n">
        <x:f>B83/B82-1</x:f>
        <x:v>0.043919002794096995</x:v>
      </x:c>
    </x:row>
    <x:row r="84">
      <x:c r="A84" s="6" t="n">
        <x:v>41364</x:v>
      </x:c>
      <x:c r="B84" s="8" t="n">
        <x:v>610.1984233966132</x:v>
      </x:c>
      <x:c r="C84" s="10" t="n">
        <x:f>B84/B83-1</x:f>
        <x:v>0.01876567968634868</x:v>
      </x:c>
    </x:row>
    <x:row r="85">
      <x:c r="A85" s="6" t="n">
        <x:v>41394</x:v>
      </x:c>
      <x:c r="B85" s="8" t="n">
        <x:v>612.580305954416</x:v>
      </x:c>
      <x:c r="C85" s="10" t="n">
        <x:f>B85/B84-1</x:f>
        <x:v>0.0039034557718853335</x:v>
      </x:c>
    </x:row>
    <x:row r="86">
      <x:c r="A86" s="6" t="n">
        <x:v>41425</x:v>
      </x:c>
      <x:c r="B86" s="8" t="n">
        <x:v>627.3496872978812</x:v>
      </x:c>
      <x:c r="C86" s="10" t="n">
        <x:f>B86/B85-1</x:f>
        <x:v>0.02411011454319323</x:v>
      </x:c>
    </x:row>
    <x:row r="87">
      <x:c r="A87" s="6" t="n">
        <x:v>41455</x:v>
      </x:c>
      <x:c r="B87" s="8" t="n">
        <x:v>608.769293861932</x:v>
      </x:c>
      <x:c r="C87" s="10" t="n">
        <x:f>B87/B86-1</x:f>
        <x:v>-0.02961728333041591</x:v>
      </x:c>
    </x:row>
    <x:row r="88">
      <x:c r="A88" s="6" t="n">
        <x:v>41486</x:v>
      </x:c>
      <x:c r="B88" s="8" t="n">
        <x:v>638.211755555496</x:v>
      </x:c>
      <x:c r="C88" s="10" t="n">
        <x:f>B88/B87-1</x:f>
        <x:v>0.048363907296943065</x:v>
      </x:c>
    </x:row>
    <x:row r="89">
      <x:c r="A89" s="6" t="n">
        <x:v>41517</x:v>
      </x:c>
      <x:c r="B89" s="8" t="n">
        <x:v>612.3136262804801</x:v>
      </x:c>
      <x:c r="C89" s="10" t="n">
        <x:f>B89/B88-1</x:f>
        <x:v>-0.04057921066100434</x:v>
      </x:c>
    </x:row>
    <x:row r="90">
      <x:c r="A90" s="6" t="n">
        <x:v>41547</x:v>
      </x:c>
      <x:c r="B90" s="8" t="n">
        <x:v>615.0237299754344</x:v>
      </x:c>
      <x:c r="C90" s="10" t="n">
        <x:f>B90/B89-1</x:f>
        <x:v>0.004426005854903048</x:v>
      </x:c>
    </x:row>
    <x:row r="91">
      <x:c r="A91" s="6" t="n">
        <x:v>41578</x:v>
      </x:c>
      <x:c r="B91" s="8" t="n">
        <x:v>645.0377295171993</x:v>
      </x:c>
      <x:c r="C91" s="10" t="n">
        <x:f>B91/B90-1</x:f>
        <x:v>0.0488013682707229</x:v>
      </x:c>
    </x:row>
    <x:row r="92">
      <x:c r="A92" s="6" t="n">
        <x:v>41608</x:v>
      </x:c>
      <x:c r="B92" s="8" t="n">
        <x:v>641.8518191390476</x:v>
      </x:c>
      <x:c r="C92" s="10" t="n">
        <x:f>B92/B91-1</x:f>
        <x:v>-0.004939107020199063</x:v>
      </x:c>
    </x:row>
    <x:row r="93">
      <x:c r="A93" s="6" t="n">
        <x:v>41639</x:v>
      </x:c>
      <x:c r="B93" s="8" t="n">
        <x:v>645.6628312315315</x:v>
      </x:c>
      <x:c r="C93" s="10" t="n">
        <x:f>B93/B92-1</x:f>
        <x:v>0.005937526355531464</x:v>
      </x:c>
    </x:row>
    <x:row r="94">
      <x:c r="A94" s="6" t="n">
        <x:v>41670</x:v>
      </x:c>
      <x:c r="B94" s="8" t="n">
        <x:v>624.8338950747475</x:v>
      </x:c>
      <x:c r="C94" s="10" t="n">
        <x:f>B94/B93-1</x:f>
        <x:v>-0.03225977266966895</x:v>
      </x:c>
    </x:row>
    <x:row r="95">
      <x:c r="A95" s="6" t="n">
        <x:v>41698</x:v>
      </x:c>
      <x:c r="B95" s="8" t="n">
        <x:v>641.9338744233355</x:v>
      </x:c>
      <x:c r="C95" s="10" t="n">
        <x:f>B95/B94-1</x:f>
        <x:v>0.027367240291185535</x:v>
      </x:c>
    </x:row>
    <x:row r="96">
      <x:c r="A96" s="6" t="n">
        <x:v>41729</x:v>
      </x:c>
      <x:c r="B96" s="8" t="n">
        <x:v>648.275494276394</x:v>
      </x:c>
      <x:c r="C96" s="10" t="n">
        <x:f>B96/B95-1</x:f>
        <x:v>0.009878930066987701</x:v>
      </x:c>
    </x:row>
    <x:row r="97">
      <x:c r="A97" s="6" t="n">
        <x:v>41759</x:v>
      </x:c>
      <x:c r="B97" s="8" t="n">
        <x:v>646.3107260803881</x:v>
      </x:c>
      <x:c r="C97" s="10" t="n">
        <x:f>B97/B96-1</x:f>
        <x:v>-0.003030761170756624</x:v>
      </x:c>
    </x:row>
    <x:row r="98">
      <x:c r="A98" s="6" t="n">
        <x:v>41790</x:v>
      </x:c>
      <x:c r="B98" s="8" t="n">
        <x:v>664.8381254785681</x:v>
      </x:c>
      <x:c r="C98" s="10" t="n">
        <x:f>B98/B97-1</x:f>
        <x:v>0.02866639628672285</x:v>
      </x:c>
    </x:row>
    <x:row r="99">
      <x:c r="A99" s="6" t="n">
        <x:v>41820</x:v>
      </x:c>
      <x:c r="B99" s="8" t="n">
        <x:v>664.6814226787128</x:v>
      </x:c>
      <x:c r="C99" s="10" t="n">
        <x:f>B99/B98-1</x:f>
        <x:v>-0.00023570068239175956</x:v>
      </x:c>
    </x:row>
    <x:row r="100">
      <x:c r="A100" s="6" t="n">
        <x:v>41851</x:v>
      </x:c>
      <x:c r="B100" s="8" t="n">
        <x:v>665.6193601643927</x:v>
      </x:c>
      <x:c r="C100" s="10" t="n">
        <x:f>B100/B99-1</x:f>
        <x:v>0.0014111083199825902</x:v>
      </x:c>
    </x:row>
    <x:row r="101">
      <x:c r="A101" s="6" t="n">
        <x:v>41882</x:v>
      </x:c>
      <x:c r="B101" s="8" t="n">
        <x:v>691.6662146421813</x:v>
      </x:c>
      <x:c r="C101" s="10" t="n">
        <x:f>B101/B100-1</x:f>
        <x:v>0.03913175613064457</x:v>
      </x:c>
    </x:row>
    <x:row r="102">
      <x:c r="A102" s="6" t="n">
        <x:v>41912</x:v>
      </x:c>
      <x:c r="B102" s="8" t="n">
        <x:v>686.3514254994479</x:v>
      </x:c>
      <x:c r="C102" s="10" t="n">
        <x:f>B102/B101-1</x:f>
        <x:v>-0.007684037517262432</x:v>
      </x:c>
    </x:row>
    <x:row r="103">
      <x:c r="A103" s="6" t="n">
        <x:v>41943</x:v>
      </x:c>
      <x:c r="B103" s="8" t="n">
        <x:v>700.5481293379871</x:v>
      </x:c>
      <x:c r="C103" s="10" t="n">
        <x:f>B103/B102-1</x:f>
        <x:v>0.02068430735495075</x:v>
      </x:c>
    </x:row>
    <x:row r="104">
      <x:c r="A104" s="6" t="n">
        <x:v>41973</x:v>
      </x:c>
      <x:c r="B104" s="8" t="n">
        <x:v>727.873678662595</x:v>
      </x:c>
      <x:c r="C104" s="10" t="n">
        <x:f>B104/B103-1</x:f>
        <x:v>0.039005955737017484</x:v>
      </x:c>
    </x:row>
    <x:row r="105">
      <x:c r="A105" s="6" t="n">
        <x:v>42004</x:v>
      </x:c>
      <x:c r="B105" s="8" t="n">
        <x:v>716.7677238655688</x:v>
      </x:c>
      <x:c r="C105" s="10" t="n">
        <x:f>B105/B104-1</x:f>
        <x:v>-0.015258079969909688</x:v>
      </x:c>
    </x:row>
    <x:row r="106">
      <x:c r="A106" s="6" t="n">
        <x:v>42035</x:v>
      </x:c>
      <x:c r="B106" s="8" t="n">
        <x:v>732.2966864170603</x:v>
      </x:c>
      <x:c r="C106" s="10" t="n">
        <x:f>B106/B105-1</x:f>
        <x:v>0.02166526481932385</x:v>
      </x:c>
    </x:row>
    <x:row r="107">
      <x:c r="A107" s="6" t="n">
        <x:v>42063</x:v>
      </x:c>
      <x:c r="B107" s="8" t="n">
        <x:v>750.4958646780879</x:v>
      </x:c>
      <x:c r="C107" s="10" t="n">
        <x:f>B107/B106-1</x:f>
        <x:v>0.024852192558826758</x:v>
      </x:c>
    </x:row>
    <x:row r="108">
      <x:c r="A108" s="6" t="n">
        <x:v>42094</x:v>
      </x:c>
      <x:c r="B108" s="8" t="n">
        <x:v>769.3970714824691</x:v>
      </x:c>
      <x:c r="C108" s="10" t="n">
        <x:f>B108/B107-1</x:f>
        <x:v>0.025184957964410115</x:v>
      </x:c>
    </x:row>
    <x:row r="109">
      <x:c r="A109" s="6" t="n">
        <x:v>42124</x:v>
      </x:c>
      <x:c r="B109" s="8" t="n">
        <x:v>764.506804470253</x:v>
      </x:c>
      <x:c r="C109" s="10" t="n">
        <x:f>B109/B108-1</x:f>
        <x:v>-0.006355972999472881</x:v>
      </x:c>
    </x:row>
    <x:row r="110">
      <x:c r="A110" s="6" t="n">
        <x:v>42155</x:v>
      </x:c>
      <x:c r="B110" s="8" t="n">
        <x:v>769.076827942401</x:v>
      </x:c>
      <x:c r="C110" s="10" t="n">
        <x:f>B110/B109-1</x:f>
        <x:v>0.00597774074138524</x:v>
      </x:c>
    </x:row>
    <x:row r="111">
      <x:c r="A111" s="6" t="n">
        <x:v>42185</x:v>
      </x:c>
      <x:c r="B111" s="8" t="n">
        <x:v>728.9010792012841</x:v>
      </x:c>
      <x:c r="C111" s="10" t="n">
        <x:f>B111/B110-1</x:f>
        <x:v>-0.0522389276096169</x:v>
      </x:c>
    </x:row>
    <x:row r="112">
      <x:c r="A112" s="6" t="n">
        <x:v>42216</x:v>
      </x:c>
      <x:c r="B112" s="8" t="n">
        <x:v>741.0800208060482</x:v>
      </x:c>
      <x:c r="C112" s="10" t="n">
        <x:f>B112/B111-1</x:f>
        <x:v>0.016708634343235662</x:v>
      </x:c>
    </x:row>
    <x:row r="113">
      <x:c r="A113" s="6" t="n">
        <x:v>42247</x:v>
      </x:c>
      <x:c r="B113" s="8" t="n">
        <x:v>700.6073914877506</x:v>
      </x:c>
      <x:c r="C113" s="10" t="n">
        <x:f>B113/B112-1</x:f>
        <x:v>-0.05461303527556549</x:v>
      </x:c>
    </x:row>
    <x:row r="114">
      <x:c r="A114" s="6" t="n">
        <x:v>42277</x:v>
      </x:c>
      <x:c r="B114" s="8" t="n">
        <x:v>685.7183461880322</x:v>
      </x:c>
      <x:c r="C114" s="10" t="n">
        <x:f>B114/B113-1</x:f>
        <x:v>-0.021251624634021193</x:v>
      </x:c>
    </x:row>
    <x:row r="115">
      <x:c r="A115" s="6" t="n">
        <x:v>42308</x:v>
      </x:c>
      <x:c r="B115" s="8" t="n">
        <x:v>726.1624840881741</x:v>
      </x:c>
      <x:c r="C115" s="10" t="n">
        <x:f>B115/B114-1</x:f>
        <x:v>0.05898068518215149</x:v>
      </x:c>
    </x:row>
    <x:row r="116">
      <x:c r="A116" s="6" t="n">
        <x:v>42338</x:v>
      </x:c>
      <x:c r="B116" s="8" t="n">
        <x:v>738.8696565855416</x:v>
      </x:c>
      <x:c r="C116" s="10" t="n">
        <x:f>B116/B115-1</x:f>
        <x:v>0.017499075999944713</x:v>
      </x:c>
    </x:row>
    <x:row r="117">
      <x:c r="A117" s="6" t="n">
        <x:v>42369</x:v>
      </x:c>
      <x:c r="B117" s="8" t="n">
        <x:v>741.4595264958798</x:v>
      </x:c>
      <x:c r="C117" s="10" t="n">
        <x:f>B117/B116-1</x:f>
        <x:v>0.0035051783318675866</x:v>
      </x:c>
    </x:row>
    <x:row r="118">
      <x:c r="A118" s="6" t="n">
        <x:v>42400</x:v>
      </x:c>
      <x:c r="B118" s="8" t="n">
        <x:v>724.1977158921682</x:v>
      </x:c>
      <x:c r="C118" s="10" t="n">
        <x:f>B118/B117-1</x:f>
        <x:v>-0.023280853488106823</x:v>
      </x:c>
    </x:row>
    <x:row r="119">
      <x:c r="A119" s="6" t="n">
        <x:v>42429</x:v>
      </x:c>
      <x:c r="B119" s="8" t="n">
        <x:v>732.5046737695957</x:v>
      </x:c>
      <x:c r="C119" s="10" t="n">
        <x:f>B119/B118-1</x:f>
        <x:v>0.011470566248878322</x:v>
      </x:c>
    </x:row>
    <x:row r="120">
      <x:c r="A120" s="6" t="n">
        <x:v>42460</x:v>
      </x:c>
      <x:c r="B120" s="8" t="n">
        <x:v>762.3323394366225</x:v>
      </x:c>
      <x:c r="C120" s="10" t="n">
        <x:f>B120/B119-1</x:f>
        <x:v>0.04072010286777905</x:v>
      </x:c>
    </x:row>
    <x:row r="121">
      <x:c r="A121" s="6" t="n">
        <x:v>42490</x:v>
      </x:c>
      <x:c r="B121" s="8" t="n">
        <x:v>758.6717620319996</x:v>
      </x:c>
      <x:c r="C121" s="10" t="n">
        <x:f>B121/B120-1</x:f>
        <x:v>-0.004801813087620288</x:v>
      </x:c>
    </x:row>
    <x:row r="122">
      <x:c r="A122" s="6" t="n">
        <x:v>42521</x:v>
      </x:c>
      <x:c r="B122" s="8" t="n">
        <x:v>764.8652265106493</x:v>
      </x:c>
      <x:c r="C122" s="10" t="n">
        <x:f>B122/B121-1</x:f>
        <x:v>0.008163562674405211</x:v>
      </x:c>
    </x:row>
    <x:row r="123">
      <x:c r="A123" s="6" t="n">
        <x:v>42551</x:v>
      </x:c>
      <x:c r="B123" s="8" t="n">
        <x:v>827.982834978965</x:v>
      </x:c>
      <x:c r="C123" s="10" t="n">
        <x:f>B123/B122-1</x:f>
        <x:v>0.08252121586996597</x:v>
      </x:c>
    </x:row>
    <x:row r="124">
      <x:c r="A124" s="6" t="n">
        <x:v>42582</x:v>
      </x:c>
      <x:c r="B124" s="8" t="n">
        <x:v>869.0144659214739</x:v>
      </x:c>
      <x:c r="C124" s="10" t="n">
        <x:f>B124/B123-1</x:f>
        <x:v>0.049556137167446446</x:v>
      </x:c>
    </x:row>
    <x:row r="125">
      <x:c r="A125" s="6" t="n">
        <x:v>42613</x:v>
      </x:c>
      <x:c r="B125" s="8" t="n">
        <x:v>883.6499375996082</x:v>
      </x:c>
      <x:c r="C125" s="10" t="n">
        <x:f>B125/B124-1</x:f>
        <x:v>0.01684145920702873</x:v>
      </x:c>
    </x:row>
    <x:row r="126">
      <x:c r="A126" s="6" t="n">
        <x:v>42643</x:v>
      </x:c>
      <x:c r="B126" s="8" t="n">
        <x:v>896.29556863376</x:v>
      </x:c>
      <x:c r="C126" s="10" t="n">
        <x:f>B126/B125-1</x:f>
        <x:v>0.014310679485252997</x:v>
      </x:c>
    </x:row>
    <x:row r="127">
      <x:c r="A127" s="6" t="n">
        <x:v>42674</x:v>
      </x:c>
      <x:c r="B127" s="8" t="n">
        <x:v>938.18479126275</x:v>
      </x:c>
      <x:c r="C127" s="10" t="n">
        <x:f>B127/B126-1</x:f>
        <x:v>0.04673594748754861</x:v>
      </x:c>
    </x:row>
    <x:row r="128">
      <x:c r="A128" s="6" t="n">
        <x:v>42704</x:v>
      </x:c>
      <x:c r="B128" s="8" t="n">
        <x:v>923.8387923930768</x:v>
      </x:c>
      <x:c r="C128" s="10" t="n">
        <x:f>B128/B127-1</x:f>
        <x:v>-0.015291229407336848</x:v>
      </x:c>
    </x:row>
    <x:row r="129">
      <x:c r="A129" s="6" t="n">
        <x:v>42735</x:v>
      </x:c>
      <x:c r="B129" s="8" t="n">
        <x:v>954.6363059341184</x:v>
      </x:c>
      <x:c r="C129" s="10" t="n">
        <x:f>B129/B128-1</x:f>
        <x:v>0.033336458475904385</x:v>
      </x:c>
    </x:row>
    <x:row r="130">
      <x:c r="A130" s="6" t="n">
        <x:v>42766</x:v>
      </x:c>
      <x:c r="B130" s="8" t="n">
        <x:v>963.0555199990777</x:v>
      </x:c>
      <x:c r="C130" s="10" t="n">
        <x:f>B130/B129-1</x:f>
        <x:v>0.008819289621214477</x:v>
      </x:c>
    </x:row>
    <x:row r="131">
      <x:c r="A131" s="6" t="n">
        <x:v>42794</x:v>
      </x:c>
      <x:c r="B131" s="8" t="n">
        <x:v>1000.9975415568015</x:v>
      </x:c>
      <x:c r="C131" s="10" t="n">
        <x:f>B131/B130-1</x:f>
        <x:v>0.039397543308572924</x:v>
      </x:c>
    </x:row>
    <x:row r="132">
      <x:c r="A132" s="6" t="n">
        <x:v>42825</x:v>
      </x:c>
      <x:c r="B132" s="8" t="n">
        <x:v>1008.1648427080072</x:v>
      </x:c>
      <x:c r="C132" s="10" t="n">
        <x:f>B132/B131-1</x:f>
        <x:v>0.007160158595453492</x:v>
      </x:c>
    </x:row>
    <x:row r="133">
      <x:c r="A133" s="6" t="n">
        <x:v>42855</x:v>
      </x:c>
      <x:c r="B133" s="8" t="n">
        <x:v>989.5023939877701</x:v>
      </x:c>
      <x:c r="C133" s="10" t="n">
        <x:f>B133/B132-1</x:f>
        <x:v>-0.018511306811799133</x:v>
      </x:c>
    </x:row>
    <x:row r="134">
      <x:c r="A134" s="6" t="n">
        <x:v>42886</x:v>
      </x:c>
      <x:c r="B134" s="8" t="n">
        <x:v>1014.4323848738613</x:v>
      </x:c>
      <x:c r="C134" s="10" t="n">
        <x:f>B134/B133-1</x:f>
        <x:v>0.025194472532422463</x:v>
      </x:c>
    </x:row>
    <x:row r="135">
      <x:c r="A135" s="6" t="n">
        <x:v>42916</x:v>
      </x:c>
      <x:c r="B135" s="8" t="n">
        <x:v>1012.5063650065467</x:v>
      </x:c>
      <x:c r="C135" s="10" t="n">
        <x:f>B135/B134-1</x:f>
        <x:v>-0.0018986182776037364</x:v>
      </x:c>
    </x:row>
    <x:row r="136">
      <x:c r="A136" s="6" t="n">
        <x:v>42947</x:v>
      </x:c>
      <x:c r="B136" s="8" t="n">
        <x:v>1025.3696704754066</x:v>
      </x:c>
      <x:c r="C136" s="10" t="n">
        <x:f>B136/B135-1</x:f>
        <x:v>0.01270441936310851</x:v>
      </x:c>
    </x:row>
    <x:row r="137">
      <x:c r="A137" s="6" t="n">
        <x:v>42978</x:v>
      </x:c>
      <x:c r="B137" s="8" t="n">
        <x:v>1053.0986582810974</x:v>
      </x:c>
      <x:c r="C137" s="10" t="n">
        <x:f>B137/B136-1</x:f>
        <x:v>0.027042917890124807</x:v>
      </x:c>
    </x:row>
    <x:row r="138">
      <x:c r="A138" s="6" t="n">
        <x:v>43008</x:v>
      </x:c>
      <x:c r="B138" s="8" t="n">
        <x:v>1030.7283364020996</x:v>
      </x:c>
      <x:c r="C138" s="10" t="n">
        <x:f>B138/B137-1</x:f>
        <x:v>-0.02124238000218459</x:v>
      </x:c>
    </x:row>
    <x:row r="139">
      <x:c r="A139" s="6" t="n">
        <x:v>43039</x:v>
      </x:c>
      <x:c r="B139" s="8" t="n">
        <x:v>1063.0655261802667</x:v>
      </x:c>
      <x:c r="C139" s="10" t="n">
        <x:f>B139/B138-1</x:f>
        <x:v>0.03137314521791912</x:v>
      </x:c>
    </x:row>
    <x:row r="140">
      <x:c r="A140" s="6" t="n">
        <x:v>43069</x:v>
      </x:c>
      <x:c r="B140" s="8" t="n">
        <x:v>1063.1777823677994</x:v>
      </x:c>
      <x:c r="C140" s="10" t="n">
        <x:f>B140/B139-1</x:f>
        <x:v>0.00010559667750298374</x:v>
      </x:c>
    </x:row>
    <x:row r="141">
      <x:c r="A141" s="6" t="n">
        <x:v>43100</x:v>
      </x:c>
      <x:c r="B141" s="8" t="n">
        <x:v>1080.939332445958</x:v>
      </x:c>
      <x:c r="C141" s="10" t="n">
        <x:f>B141/B140-1</x:f>
        <x:v>0.016706095981992686</x:v>
      </x:c>
    </x:row>
    <x:row r="142">
      <x:c r="A142" s="6" t="n">
        <x:v>43131</x:v>
      </x:c>
      <x:c r="B142" s="8" t="n">
        <x:v>1086.1794740731239</x:v>
      </x:c>
      <x:c r="C142" s="10" t="n">
        <x:f>B142/B141-1</x:f>
        <x:v>0.004847766632109174</x:v>
      </x:c>
    </x:row>
    <x:row r="143">
      <x:c r="A143" s="6" t="n">
        <x:v>43159</x:v>
      </x:c>
      <x:c r="B143" s="8" t="n">
        <x:v>1074.156665439852</x:v>
      </x:c>
      <x:c r="C143" s="10" t="n">
        <x:f>B143/B142-1</x:f>
        <x:v>-0.011068896918284388</x:v>
      </x:c>
    </x:row>
    <x:row r="144">
      <x:c r="A144" s="6" t="n">
        <x:v>43190</x:v>
      </x:c>
      <x:c r="B144" s="8" t="n">
        <x:v>1032.367162774406</x:v>
      </x:c>
      <x:c r="C144" s="10" t="n">
        <x:f>B144/B143-1</x:f>
        <x:v>-0.03890447642321693</x:v>
      </x:c>
    </x:row>
    <x:row r="145">
      <x:c r="A145" s="6" t="n">
        <x:v>43220</x:v>
      </x:c>
      <x:c r="B145" s="8" t="n">
        <x:v>1061.5982181452564</x:v>
      </x:c>
      <x:c r="C145" s="10" t="n">
        <x:f>B145/B144-1</x:f>
        <x:v>0.02831459235132394</x:v>
      </x:c>
    </x:row>
    <x:row r="146">
      <x:c r="A146" s="6" t="n">
        <x:v>43251</x:v>
      </x:c>
      <x:c r="B146" s="8" t="n">
        <x:v>1099.5419491880684</x:v>
      </x:c>
      <x:c r="C146" s="10" t="n">
        <x:f>B146/B145-1</x:f>
        <x:v>0.035742082451027946</x:v>
      </x:c>
    </x:row>
    <x:row r="147">
      <x:c r="A147" s="6" t="n">
        <x:v>43281</x:v>
      </x:c>
      <x:c r="B147" s="8" t="n">
        <x:v>1102.1699975987349</x:v>
      </x:c>
      <x:c r="C147" s="10" t="n">
        <x:f>B147/B146-1</x:f>
        <x:v>0.0023901301924924567</x:v>
      </x:c>
    </x:row>
    <x:row r="148">
      <x:c r="A148" s="6" t="n">
        <x:v>43312</x:v>
      </x:c>
      <x:c r="B148" s="8" t="n">
        <x:v>1143.1269810256763</x:v>
      </x:c>
      <x:c r="C148" s="10" t="n">
        <x:f>B148/B147-1</x:f>
        <x:v>0.03716031421302812</x:v>
      </x:c>
    </x:row>
    <x:row r="149">
      <x:c r="A149" s="6" t="n">
        <x:v>43343</x:v>
      </x:c>
      <x:c r="B149" s="8" t="n">
        <x:v>1161.7586590143055</x:v>
      </x:c>
      <x:c r="C149" s="10" t="n">
        <x:f>B149/B148-1</x:f>
        <x:v>0.016298869939988636</x:v>
      </x:c>
    </x:row>
    <x:row r="150">
      <x:c r="A150" s="6" t="n">
        <x:v>43373</x:v>
      </x:c>
      <x:c r="B150" s="8" t="n">
        <x:v>1163.649349523107</x:v>
      </x:c>
      <x:c r="C150" s="10" t="n">
        <x:f>B150/B149-1</x:f>
        <x:v>0.0016274382756962247</x:v>
      </x:c>
    </x:row>
    <x:row r="151">
      <x:c r="A151" s="6" t="n">
        <x:v>43404</x:v>
      </x:c>
      <x:c r="B151" s="8" t="n">
        <x:v>1098.9094397050158</x:v>
      </x:c>
      <x:c r="C151" s="10" t="n">
        <x:f>B151/B150-1</x:f>
        <x:v>-0.05563523912476154</x:v>
      </x:c>
    </x:row>
    <x:row r="152">
      <x:c r="A152" s="6" t="n">
        <x:v>43434</x:v>
      </x:c>
      <x:c r="B152" s="8" t="n">
        <x:v>1118.0482649368132</x:v>
      </x:c>
      <x:c r="C152" s="10" t="n">
        <x:f>B152/B151-1</x:f>
        <x:v>0.01741619876969569</x:v>
      </x:c>
    </x:row>
    <x:row r="153">
      <x:c r="A153" s="6" t="n">
        <x:v>43465</x:v>
      </x:c>
      <x:c r="B153" s="8" t="n">
        <x:v>1041.0530565133013</x:v>
      </x:c>
      <x:c r="C153" s="10" t="n">
        <x:f>B153/B152-1</x:f>
        <x:v>-0.06886572864353346</x:v>
      </x:c>
    </x:row>
    <x:row r="154">
      <x:c r="A154" s="6" t="n">
        <x:v>43496</x:v>
      </x:c>
      <x:c r="B154" s="8" t="n">
        <x:v>1087.1174115588037</x:v>
      </x:c>
      <x:c r="C154" s="10" t="n">
        <x:f>B154/B153-1</x:f>
        <x:v>0.044247845733992985</x:v>
      </x:c>
    </x:row>
    <x:row r="155">
      <x:c r="A155" s="6" t="n">
        <x:v>43524</x:v>
      </x:c>
      <x:c r="B155" s="8" t="n">
        <x:v>1103.6583892831804</x:v>
      </x:c>
      <x:c r="C155" s="10" t="n">
        <x:f>B155/B154-1</x:f>
        <x:v>0.015215447336694554</x:v>
      </x:c>
    </x:row>
    <x:row r="156">
      <x:c r="A156" s="6" t="n">
        <x:v>43555</x:v>
      </x:c>
      <x:c r="B156" s="8" t="n">
        <x:v>1140.7599140053153</x:v>
      </x:c>
      <x:c r="C156" s="10" t="n">
        <x:f>B156/B155-1</x:f>
        <x:v>0.033616855616194874</x:v>
      </x:c>
    </x:row>
    <x:row r="157">
      <x:c r="A157" s="6" t="n">
        <x:v>43585</x:v>
      </x:c>
      <x:c r="B157" s="8" t="n">
        <x:v>1178.7384045782774</x:v>
      </x:c>
      <x:c r="C157" s="10" t="n">
        <x:f>B157/B156-1</x:f>
        <x:v>0.0332922730775278</x:v>
      </x:c>
    </x:row>
    <x:row r="158">
      <x:c r="A158" s="6" t="n">
        <x:v>43616</x:v>
      </x:c>
      <x:c r="B158" s="8" t="n">
        <x:v>1148.21098968135</x:v>
      </x:c>
      <x:c r="C158" s="10" t="n">
        <x:f>B158/B157-1</x:f>
        <x:v>-0.025898379808749317</x:v>
      </x:c>
    </x:row>
    <x:row r="159">
      <x:c r="A159" s="6" t="n">
        <x:v>43646</x:v>
      </x:c>
      <x:c r="B159" s="8" t="n">
        <x:v>1210.6812731291711</x:v>
      </x:c>
      <x:c r="C159" s="10" t="n">
        <x:f>B159/B158-1</x:f>
        <x:v>0.05440662387768813</x:v>
      </x:c>
    </x:row>
    <x:row r="160">
      <x:c r="A160" s="6" t="n">
        <x:v>43677</x:v>
      </x:c>
      <x:c r="B160" s="8" t="n">
        <x:v>1262.1498803704153</x:v>
      </x:c>
      <x:c r="C160" s="10" t="n">
        <x:f>B160/B159-1</x:f>
        <x:v>0.04251210321294274</x:v>
      </x:c>
    </x:row>
    <x:row r="161">
      <x:c r="A161" s="6" t="n">
        <x:v>43708</x:v>
      </x:c>
      <x:c r="B161" s="8" t="n">
        <x:v>1239.4895158545933</x:v>
      </x:c>
      <x:c r="C161" s="10" t="n">
        <x:f>B161/B160-1</x:f>
        <x:v>-0.017953782564374743</x:v>
      </x:c>
    </x:row>
    <x:row r="162">
      <x:c r="A162" s="6" t="n">
        <x:v>43738</x:v>
      </x:c>
      <x:c r="B162" s="8" t="n">
        <x:v>1250.9829539385355</x:v>
      </x:c>
      <x:c r="C162" s="10" t="n">
        <x:f>B162/B161-1</x:f>
        <x:v>0.009272719080659408</x:v>
      </x:c>
    </x:row>
    <x:row r="163">
      <x:c r="A163" s="6" t="n">
        <x:v>43769</x:v>
      </x:c>
      <x:c r="B163" s="8" t="n">
        <x:v>1223.9468774223878</x:v>
      </x:c>
      <x:c r="C163" s="10" t="n">
        <x:f>B163/B162-1</x:f>
        <x:v>-0.02161186643753099</x:v>
      </x:c>
    </x:row>
    <x:row r="164">
      <x:c r="A164" s="6" t="n">
        <x:v>43799</x:v>
      </x:c>
      <x:c r="B164" s="8" t="n">
        <x:v>1253.915290695103</x:v>
      </x:c>
      <x:c r="C164" s="10" t="n">
        <x:f>B164/B163-1</x:f>
        <x:v>0.02448506044300558</x:v>
      </x:c>
    </x:row>
    <x:row r="165">
      <x:c r="A165" s="6" t="n">
        <x:v>43830</x:v>
      </x:c>
      <x:c r="B165" s="8" t="n">
        <x:v>1267.352413325615</x:v>
      </x:c>
      <x:c r="C165" s="10" t="n">
        <x:f>B165/B164-1</x:f>
        <x:v>0.010716132684739144</x:v>
      </x:c>
    </x:row>
    <x:row r="166">
      <x:c r="A166" s="6" t="n">
        <x:v>43861</x:v>
      </x:c>
      <x:c r="B166" s="8" t="n">
        <x:v>1259.104717597952</x:v>
      </x:c>
      <x:c r="C166" s="10" t="n">
        <x:f>B166/B165-1</x:f>
        <x:v>-0.006507815538079553</x:v>
      </x:c>
    </x:row>
    <x:row r="167">
      <x:c r="A167" s="6" t="n">
        <x:v>43890</x:v>
      </x:c>
      <x:c r="B167" s="8" t="n">
        <x:v>1194.3494224140568</x:v>
      </x:c>
      <x:c r="C167" s="10" t="n">
        <x:f>B167/B166-1</x:f>
        <x:v>-0.05142963430987035</x:v>
      </x:c>
    </x:row>
    <x:row r="168">
      <x:c r="A168" s="6" t="n">
        <x:v>43921</x:v>
      </x:c>
      <x:c r="B168" s="8" t="n">
        <x:v>1065.388716416668</x:v>
      </x:c>
      <x:c r="C168" s="10" t="n">
        <x:f>B168/B167-1</x:f>
        <x:v>-0.10797569252114614</x:v>
      </x:c>
    </x:row>
    <x:row r="169">
      <x:c r="A169" s="6" t="n">
        <x:v>43951</x:v>
      </x:c>
      <x:c r="B169" s="8" t="n">
        <x:v>1158.4827157547825</x:v>
      </x:c>
      <x:c r="C169" s="10" t="n">
        <x:f>B169/B168-1</x:f>
        <x:v>0.08738031284133263</x:v>
      </x:c>
    </x:row>
    <x:row r="170">
      <x:c r="A170" s="6" t="n">
        <x:v>43982</x:v>
      </x:c>
      <x:c r="B170" s="8" t="n">
        <x:v>1233.050455351443</x:v>
      </x:c>
      <x:c r="C170" s="10" t="n">
        <x:f>B170/B169-1</x:f>
        <x:v>0.0643667260482843</x:v>
      </x:c>
    </x:row>
    <x:row r="171">
      <x:c r="A171" s="6" t="n">
        <x:v>44012</x:v>
      </x:c>
      <x:c r="B171" s="8" t="n">
        <x:v>1273.2410196300007</x:v>
      </x:c>
      <x:c r="C171" s="10" t="n">
        <x:f>B171/B170-1</x:f>
        <x:v>0.032594419882925774</x:v>
      </x:c>
    </x:row>
    <x:row r="172">
      <x:c r="A172" s="6" t="n">
        <x:v>44043</x:v>
      </x:c>
      <x:c r="B172" s="8" t="n">
        <x:v>1260.682572335405</x:v>
      </x:c>
      <x:c r="C172" s="10" t="n">
        <x:f>B172/B171-1</x:f>
        <x:v>-0.009863370014771555</x:v>
      </x:c>
    </x:row>
    <x:row r="173">
      <x:c r="A173" s="6" t="n">
        <x:v>44074</x:v>
      </x:c>
      <x:c r="B173" s="8" t="n">
        <x:v>1312.7096113724974</x:v>
      </x:c>
      <x:c r="C173" s="10" t="n">
        <x:f>B173/B172-1</x:f>
        <x:v>0.04126894444230533</x:v>
      </x:c>
    </x:row>
    <x:row r="174">
      <x:c r="A174" s="6" t="n">
        <x:v>44104</x:v>
      </x:c>
      <x:c r="B174" s="8" t="n">
        <x:v>1314.8971824584796</x:v>
      </x:c>
      <x:c r="C174" s="10" t="n">
        <x:f>B174/B173-1</x:f>
        <x:v>0.0016664546880973408</x:v>
      </x:c>
    </x:row>
    <x:row r="175">
      <x:c r="A175" s="6" t="n">
        <x:v>44135</x:v>
      </x:c>
      <x:c r="B175" s="8" t="n">
        <x:v>1281.3399901548928</x:v>
      </x:c>
      <x:c r="C175" s="10" t="n">
        <x:f>B175/B174-1</x:f>
        <x:v>-0.025520772841603145</x:v>
      </x:c>
    </x:row>
    <x:row r="176">
      <x:c r="A176" s="6" t="n">
        <x:v>44165</x:v>
      </x:c>
      <x:c r="B176" s="8" t="n">
        <x:v>1394.0286774152928</x:v>
      </x:c>
      <x:c r="C176" s="10" t="n">
        <x:f>B176/B175-1</x:f>
        <x:v>0.08794596916215647</x:v>
      </x:c>
    </x:row>
    <x:row r="177">
      <x:c r="A177" s="6" t="n">
        <x:v>44196</x:v>
      </x:c>
      <x:c r="B177" s="8" t="n">
        <x:v>1423.0289522990843</x:v>
      </x:c>
      <x:c r="C177" s="10" t="n">
        <x:f>B177/B176-1</x:f>
        <x:v>0.020803212554824757</x:v>
      </x:c>
    </x:row>
    <x:row r="178">
      <x:c r="A178" s="6" t="n">
        <x:v>44227</x:v>
      </x:c>
      <x:c r="B178" s="8" t="n">
        <x:v>1410.947451344412</x:v>
      </x:c>
      <x:c r="C178" s="10" t="n">
        <x:f>B178/B177-1</x:f>
        <x:v>-0.008489989564269274</x:v>
      </x:c>
    </x:row>
    <x:row r="179">
      <x:c r="A179" s="6" t="n">
        <x:v>44255</x:v>
      </x:c>
      <x:c r="B179" s="8" t="n">
        <x:v>1417.4833826692911</x:v>
      </x:c>
      <x:c r="C179" s="10" t="n">
        <x:f>B179/B178-1</x:f>
        <x:v>0.004632299607367774</x:v>
      </x:c>
    </x:row>
    <x:row r="180">
      <x:c r="A180" s="6" t="n">
        <x:v>44286</x:v>
      </x:c>
      <x:c r="B180" s="8" t="n">
        <x:v>1475.7403552002725</x:v>
      </x:c>
      <x:c r="C180" s="10" t="n">
        <x:f>B180/B179-1</x:f>
        <x:v>0.04109887512139743</x:v>
      </x:c>
    </x:row>
    <x:row r="181">
      <x:c r="A181" s="6" t="n">
        <x:v>44316</x:v>
      </x:c>
      <x:c r="B181" s="8" t="n">
        <x:v>1534.3209902415</x:v>
      </x:c>
      <x:c r="C181" s="10" t="n">
        <x:f>B181/B180-1</x:f>
        <x:v>0.0396957600534531</x:v>
      </x:c>
    </x:row>
    <x:row r="182">
      <x:c r="A182" s="6" t="n">
        <x:v>44347</x:v>
      </x:c>
      <x:c r="B182" s="8" t="n">
        <x:v>1518.007943862368</x:v>
      </x:c>
      <x:c r="C182" s="10" t="n">
        <x:f>B182/B181-1</x:f>
        <x:v>-0.010632094902491396</x:v>
      </x:c>
    </x:row>
    <x:row r="183">
      <x:c r="A183" s="6" t="n">
        <x:v>44377</x:v>
      </x:c>
      <x:c r="B183" s="8" t="n">
        <x:v>1582.9153832192142</x:v>
      </x:c>
      <x:c r="C183" s="10" t="n">
        <x:f>B183/B182-1</x:f>
        <x:v>0.042758300191564125</x:v>
      </x:c>
    </x:row>
    <x:row r="184">
      <x:c r="A184" s="6" t="n">
        <x:v>44408</x:v>
      </x:c>
      <x:c r="B184" s="8" t="n">
        <x:v>1582.8395960469197</x:v>
      </x:c>
      <x:c r="C184" s="10" t="n">
        <x:f>B184/B183-1</x:f>
        <x:v>-0.00004787822084351134</x:v>
      </x:c>
    </x:row>
    <x:row r="185">
      <x:c r="A185" s="6" t="n">
        <x:v>44439</x:v>
      </x:c>
      <x:c r="B185" s="8" t="n">
        <x:v>1639.132940038622</x:v>
      </x:c>
      <x:c r="C185" s="10" t="n">
        <x:f>B185/B184-1</x:f>
        <x:v>0.035564781252814814</x:v>
      </x:c>
    </x:row>
    <x:row r="186">
      <x:c r="A186" s="6" t="n">
        <x:v>44469</x:v>
      </x:c>
      <x:c r="B186" s="8" t="n">
        <x:v>1605.4788769133065</x:v>
      </x:c>
      <x:c r="C186" s="10" t="n">
        <x:f>B186/B185-1</x:f>
        <x:v>-0.020531625167951706</x:v>
      </x:c>
    </x:row>
    <x:row r="187">
      <x:c r="A187" s="6" t="n">
        <x:v>44500</x:v>
      </x:c>
      <x:c r="B187" s="8" t="n">
        <x:v>1657.8466733115392</x:v>
      </x:c>
      <x:c r="C187" s="10" t="n">
        <x:f>B187/B186-1</x:f>
        <x:v>0.03261817838358305</x:v>
      </x:c>
    </x:row>
    <x:row r="188">
      <x:c r="A188" s="6" t="n">
        <x:v>44530</x:v>
      </x:c>
      <x:c r="B188" s="8" t="n">
        <x:v>1675.7028148979743</x:v>
      </x:c>
      <x:c r="C188" s="10" t="n">
        <x:f>B188/B187-1</x:f>
        <x:v>0.010770683365288303</x:v>
      </x:c>
    </x:row>
    <x:row r="189">
      <x:c r="A189" s="6" t="n">
        <x:v>44561</x:v>
      </x:c>
      <x:c r="B189" s="8" t="n">
        <x:v>1701.715479673976</x:v>
      </x:c>
      <x:c r="C189" s="10" t="n">
        <x:f>B189/B188-1</x:f>
        <x:v>0.015523435626373594</x:v>
      </x:c>
    </x:row>
    <x:row r="190">
      <x:c r="A190" s="6" t="n">
        <x:v>44592</x:v>
      </x:c>
      <x:c r="B190" s="8" t="n">
        <x:v>1635.5122506194166</x:v>
      </x:c>
      <x:c r="C190" s="10" t="n">
        <x:f>B190/B189-1</x:f>
        <x:v>-0.0389038178504687</x:v>
      </x:c>
    </x:row>
    <x:row r="191">
      <x:c r="A191" s="6" t="n">
        <x:v>44620</x:v>
      </x:c>
      <x:c r="B191" s="8" t="n">
        <x:v>1591.7004270932912</x:v>
      </x:c>
      <x:c r="C191" s="10" t="n">
        <x:f>B191/B190-1</x:f>
        <x:v>-0.026787829629238535</x:v>
      </x:c>
    </x:row>
    <x:row r="192">
      <x:c r="A192" s="6" t="n">
        <x:v>44651</x:v>
      </x:c>
      <x:c r="B192" s="8" t="n">
        <x:v>1656.2842039398893</x:v>
      </x:c>
      <x:c r="C192" s="10" t="n">
        <x:f>B192/B191-1</x:f>
        <x:v>0.04057533424460957</x:v>
      </x:c>
    </x:row>
    <x:row r="193">
      <x:c r="A193" s="6" t="n">
        <x:v>44681</x:v>
      </x:c>
      <x:c r="B193" s="8" t="n">
        <x:v>1598.8278402590786</x:v>
      </x:c>
      <x:c r="C193" s="10" t="n">
        <x:f>B193/B192-1</x:f>
        <x:v>-0.03468991827859991</x:v>
      </x:c>
    </x:row>
    <x:row r="194">
      <x:c r="A194" s="6" t="n">
        <x:v>44712</x:v>
      </x:c>
      <x:c r="B194" s="8" t="n">
        <x:v>1594.082879479456</x:v>
      </x:c>
      <x:c r="C194" s="10" t="n">
        <x:f>B194/B193-1</x:f>
        <x:v>-0.0029677746785129466</x:v>
      </x:c>
    </x:row>
    <x:row r="195">
      <x:c r="A195" s="6" t="n">
        <x:v>44742</x:v>
      </x:c>
      <x:c r="B195" s="8" t="n">
        <x:v>1515.8739366425189</x:v>
      </x:c>
      <x:c r="C195" s="10" t="n">
        <x:f>B195/B194-1</x:f>
        <x:v>-0.04906203049020652</x:v>
      </x:c>
    </x:row>
    <x:row r="196">
      <x:c r="A196" s="6" t="n">
        <x:v>44773</x:v>
      </x:c>
      <x:c r="B196" s="8" t="n">
        <x:v>1616.455480671907</x:v>
      </x:c>
      <x:c r="C196" s="10" t="n">
        <x:f>B196/B195-1</x:f>
        <x:v>0.06635218245929098</x:v>
      </x:c>
    </x:row>
    <x:row r="197">
      <x:c r="A197" s="6" t="n">
        <x:v>44804</x:v>
      </x:c>
      <x:c r="B197" s="8" t="n">
        <x:v>1630.4430575011847</x:v>
      </x:c>
      <x:c r="C197" s="10" t="n">
        <x:f>B197/B196-1</x:f>
        <x:v>0.008653239756076347</x:v>
      </x:c>
    </x:row>
    <x:row r="198">
      <x:c r="A198" s="6" t="n">
        <x:v>44834</x:v>
      </x:c>
      <x:c r="B198" s="8" t="n">
        <x:v>1537.5029118211096</x:v>
      </x:c>
      <x:c r="C198" s="10" t="n">
        <x:f>B198/B197-1</x:f>
        <x:v>-0.0570030000449786</x:v>
      </x:c>
    </x:row>
    <x:row r="199">
      <x:c r="A199" s="6" t="n">
        <x:v>44865</x:v>
      </x:c>
      <x:c r="B199" s="8" t="n">
        <x:v>1579.2946938000086</x:v>
      </x:c>
      <x:c r="C199" s="10" t="n">
        <x:f>B199/B198-1</x:f>
        <x:v>0.02718159533720721</x:v>
      </x:c>
    </x:row>
    <x:row r="200">
      <x:c r="A200" s="6" t="n">
        <x:v>44895</x:v>
      </x:c>
      <x:c r="B200" s="8" t="n">
        <x:v>1644.1451503205435</x:v>
      </x:c>
      <x:c r="C200" s="10" t="n">
        <x:f>B200/B199-1</x:f>
        <x:v>0.041062923072637814</x:v>
      </x:c>
    </x:row>
    <x:row r="201">
      <x:c r="A201" s="6" t="n">
        <x:v>44926</x:v>
      </x:c>
      <x:c r="B201" s="8" t="n">
        <x:v>1564.201649946297</x:v>
      </x:c>
      <x:c r="C201" s="10" t="n">
        <x:f>B201/B200-1</x:f>
        <x:v>-0.04862314033445325</x:v>
      </x:c>
    </x:row>
    <x:row r="202">
      <x:c r="A202" s="6" t="n">
        <x:v>44957</x:v>
      </x:c>
      <x:c r="B202" s="8" t="n">
        <x:v>1636.4843778068835</x:v>
      </x:c>
      <x:c r="C202" s="10" t="n">
        <x:f>B202/B201-1</x:f>
        <x:v>0.04621061987952002</x:v>
      </x:c>
    </x:row>
    <x:row r="203">
      <x:c r="A203" s="6" t="n">
        <x:v>44985</x:v>
      </x:c>
      <x:c r="B203" s="8" t="n">
        <x:v>1616.2839623346108</x:v>
      </x:c>
      <x:c r="C203" s="10" t="n">
        <x:f>B203/B202-1</x:f>
        <x:v>-0.01234378754005827</x:v>
      </x:c>
    </x:row>
    <x:row r="204">
      <x:c r="A204" s="6" t="n">
        <x:v>45016</x:v>
      </x:c>
      <x:c r="B204" s="8" t="n">
        <x:v>1632.882492723661</x:v>
      </x:c>
      <x:c r="C204" s="10" t="n">
        <x:f>B204/B203-1</x:f>
        <x:v>0.010269563254884151</x:v>
      </x:c>
    </x:row>
    <x:row r="205">
      <x:c r="A205" s="6" t="n">
        <x:v>45046</x:v>
      </x:c>
      <x:c r="B205" s="8" t="n">
        <x:v>1630.767289839794</x:v>
      </x:c>
      <x:c r="C205" s="10" t="n">
        <x:f>B205/B204-1</x:f>
        <x:v>-0.0012953797308088433</x:v>
      </x:c>
    </x:row>
    <x:row r="206">
      <x:c r="A206" s="6" t="n">
        <x:v>45077</x:v>
      </x:c>
      <x:c r="B206" s="8" t="n">
        <x:v>1638.6377591910787</x:v>
      </x:c>
      <x:c r="C206" s="10" t="n">
        <x:f>B206/B205-1</x:f>
        <x:v>0.004826236950127738</x:v>
      </x:c>
    </x:row>
    <x:row r="207">
      <x:c r="A207" s="6" t="n">
        <x:v>45107</x:v>
      </x:c>
      <x:c r="B207" s="8" t="n">
        <x:v>1688.8903527054445</x:v>
      </x:c>
      <x:c r="C207" s="10" t="n">
        <x:f>B207/B206-1</x:f>
        <x:v>0.030667298634185824</x:v>
      </x:c>
    </x:row>
    <x:row r="208">
      <x:c r="A208" s="6" t="n">
        <x:v>45138</x:v>
      </x:c>
      <x:c r="B208" s="8" t="n">
        <x:v>1729.480936494906</x:v>
      </x:c>
      <x:c r="C208" s="10" t="n">
        <x:f>B208/B207-1</x:f>
        <x:v>0.0240338774654254</x:v>
      </x:c>
    </x:row>
    <x:row r="209">
      <x:c r="A209" s="6" t="n">
        <x:v>45169</x:v>
      </x:c>
      <x:c r="B209" s="8" t="n">
        <x:v>1707.4707461413936</x:v>
      </x:c>
      <x:c r="C209" s="10" t="n">
        <x:f>B209/B208-1</x:f>
        <x:v>-0.012726471792236072</x:v>
      </x:c>
    </x:row>
    <x:row r="210">
      <x:c r="A210" s="6" t="n">
        <x:v>45199</x:v>
      </x:c>
      <x:c r="B210" s="8" t="n">
        <x:v>1700.9148708238054</x:v>
      </x:c>
      <x:c r="C210" s="10" t="n">
        <x:f>B210/B209-1</x:f>
        <x:v>-0.0038395242392312845</x:v>
      </x:c>
    </x:row>
    <x:row r="211">
      <x:c r="A211" s="6" t="n">
        <x:v>45230</x:v>
      </x:c>
      <x:c r="B211" s="8" t="n">
        <x:v>1660.1333945327024</x:v>
      </x:c>
      <x:c r="C211" s="10" t="n">
        <x:f>B211/B210-1</x:f>
        <x:v>-0.023976200685076776</x:v>
      </x:c>
    </x:row>
    <x:row r="212">
      <x:c r="A212" s="6" t="n">
        <x:v>45260</x:v>
      </x:c>
      <x:c r="B212" s="8" t="n">
        <x:v>1737.6374596844717</x:v>
      </x:c>
      <x:c r="C212" s="10" t="n">
        <x:f>B212/B211-1</x:f>
        <x:v>0.04668544431851829</x:v>
      </x:c>
    </x:row>
    <x:row r="213">
      <x:c r="A213" s="6" t="n">
        <x:v>45291</x:v>
      </x:c>
      <x:c r="B213" s="8" t="n">
        <x:v>1807.2516813206112</x:v>
      </x:c>
      <x:c r="C213" s="10" t="n">
        <x:f>B213/B212-1</x:f>
        <x:v>0.04006256958156307</x:v>
      </x:c>
    </x:row>
    <x:row r="214">
      <x:c r="A214" s="6" t="n">
        <x:v>45322</x:v>
      </x:c>
      <x:c r="B214" s="8" t="n">
        <x:v>1813.597859800575</x:v>
      </x:c>
      <x:c r="C214" s="10" t="n">
        <x:f>B214/B213-1</x:f>
        <x:v>0.0035115078577911962</x:v>
      </x:c>
    </x:row>
    <x:row r="215">
      <x:c r="A215" s="6" t="n">
        <x:v>45351</x:v>
      </x:c>
      <x:c r="B215" s="8" t="n">
        <x:v>1903.240978571691</x:v>
      </x:c>
      <x:c r="C215" s="10" t="n">
        <x:f>B215/B214-1</x:f>
        <x:v>0.04942833290560511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</x:cols>
  <x:sheetData>
    <x:row r="1">
      <x:c r="A1" s="3" t="str">
        <x:v>date</x:v>
      </x:c>
      <x:c r="B1" s="3" t="str">
        <x:v>PACW_actual_total_return_GBP</x:v>
      </x:c>
    </x:row>
    <x:row r="2">
      <x:c r="A2" s="6" t="n">
        <x:v>45382</x:v>
      </x:c>
      <x:c r="B2" s="10" t="n">
        <x:v>0.0334758223121705</x:v>
      </x:c>
    </x:row>
    <x:row r="3">
      <x:c r="A3" s="6" t="n">
        <x:v>45412</x:v>
      </x:c>
      <x:c r="B3" s="10" t="n">
        <x:v>-0.0224692521731326</x:v>
      </x:c>
    </x:row>
    <x:row r="4">
      <x:c r="A4" s="6" t="n">
        <x:v>45443</x:v>
      </x:c>
      <x:c r="B4" s="10" t="n">
        <x:v>0.0229994007208951</x:v>
      </x:c>
    </x:row>
    <x:row r="5">
      <x:c r="A5" s="6" t="n">
        <x:v>45473</x:v>
      </x:c>
      <x:c r="B5" s="10" t="n">
        <x:v>0.029964683761793</x:v>
      </x:c>
    </x:row>
    <x:row r="6">
      <x:c r="A6" s="6" t="n">
        <x:v>45504</x:v>
      </x:c>
      <x:c r="B6" s="10" t="n">
        <x:v>-0.0008161661635482</x:v>
      </x:c>
    </x:row>
    <x:row r="7">
      <x:c r="A7" s="6" t="n">
        <x:v>45535</x:v>
      </x:c>
      <x:c r="B7" s="10" t="n">
        <x:v>0.0012225132396523</x:v>
      </x:c>
    </x:row>
    <x:row r="8">
      <x:c r="A8" s="6" t="n">
        <x:v>45565</x:v>
      </x:c>
      <x:c r="B8" s="10" t="n">
        <x:v>0.0024193118855342</x:v>
      </x:c>
    </x:row>
    <x:row r="9">
      <x:c r="A9" s="6" t="n">
        <x:v>45596</x:v>
      </x:c>
      <x:c r="B9" s="10" t="n">
        <x:v>0.019490879973153</x:v>
      </x:c>
    </x:row>
    <x:row r="10">
      <x:c r="A10" s="6" t="n">
        <x:v>45626</x:v>
      </x:c>
      <x:c r="B10" s="10" t="n">
        <x:v>0.0478200596801943</x:v>
      </x:c>
    </x:row>
    <x:row r="11">
      <x:c r="A11" s="6" t="n">
        <x:v>45657</x:v>
      </x:c>
      <x:c r="B11" s="10" t="n">
        <x:v>-0.0083471496539101</x:v>
      </x:c>
    </x:row>
    <x:row r="12">
      <x:c r="A12" s="6" t="n">
        <x:v>45688</x:v>
      </x:c>
      <x:c r="B12" s="10" t="n">
        <x:v>0.0416028205626251</x:v>
      </x:c>
    </x:row>
    <x:row r="13">
      <x:c r="A13" s="6" t="n">
        <x:v>45716</x:v>
      </x:c>
      <x:c r="B13" s="10" t="n">
        <x:v>-0.0194040331842615</x:v>
      </x:c>
    </x:row>
    <x:row r="14">
      <x:c r="A14" s="6" t="n">
        <x:v>45747</x:v>
      </x:c>
      <x:c r="B14" s="10" t="n">
        <x:v>-0.0628385614107109</x:v>
      </x:c>
    </x:row>
    <x:row r="15">
      <x:c r="A15" s="6" t="n">
        <x:v>45777</x:v>
      </x:c>
      <x:c r="B15" s="10" t="n">
        <x:v>-0.0232779439900252</x:v>
      </x:c>
    </x:row>
    <x:row r="16">
      <x:c r="A16" s="6" t="n">
        <x:v>45808</x:v>
      </x:c>
      <x:c r="B16" s="10" t="n">
        <x:v>0.0479699647401647</x:v>
      </x:c>
    </x:row>
    <x:row r="17">
      <x:c r="A17" s="6" t="n">
        <x:v>45838</x:v>
      </x:c>
      <x:c r="B17" s="10" t="n">
        <x:v>0.0286475321711041</x:v>
      </x:c>
    </x:row>
    <x:row r="18">
      <x:c r="A18" s="6" t="n">
        <x:v>45869</x:v>
      </x:c>
      <x:c r="B18" s="10" t="n">
        <x:v>0.0504377143520815</x:v>
      </x:c>
    </x:row>
    <x:row r="19">
      <x:c r="A19" s="6" t="n">
        <x:v>45900</x:v>
      </x:c>
      <x:c r="B19" s="10" t="n">
        <x:v>0.0044021246570291</x:v>
      </x:c>
    </x:row>
    <x:row r="20">
      <x:c r="A20" s="6" t="n">
        <x:v>45930</x:v>
      </x:c>
      <x:c r="B20" s="10" t="n">
        <x:v>0.0403354529068211</x:v>
      </x:c>
    </x:row>
    <x:row r="21">
      <x:c r="A21" s="6" t="n">
        <x:v>45961</x:v>
      </x:c>
      <x:c r="B21" s="10" t="n">
        <x:v>0.0475888744155357</x:v>
      </x:c>
    </x:row>
    <x:row r="22">
      <x:c r="A22" s="6" t="n">
        <x:v>45991</x:v>
      </x:c>
      <x:c r="B22" s="10" t="n">
        <x:v>-0.0087663608656554</x:v>
      </x:c>
    </x:row>
    <x:row r="23">
      <x:c r="A23" s="6" t="n">
        <x:v>46022</x:v>
      </x:c>
      <x:c r="B23" s="10" t="n">
        <x:v>-0.0043633002731229</x:v>
      </x:c>
    </x:row>
    <x:row r="24">
      <x:c r="A24" s="6" t="n">
        <x:v>46053</x:v>
      </x:c>
      <x:c r="B24" s="10" t="n">
        <x:v>0.0091635528743714</x:v>
      </x:c>
    </x:row>
    <x:row r="25">
      <x:c r="A25" s="6" t="n">
        <x:v>46081</x:v>
      </x:c>
      <x:c r="B25" s="10" t="n">
        <x:v>0.0339899348892207</x:v>
      </x:c>
    </x:row>
    <x:row r="26">
      <x:c r="A26" s="6" t="n">
        <x:v>46112</x:v>
      </x:c>
      <x:c r="B26" s="10" t="n">
        <x:v>-0.0546293702974677</x:v>
      </x:c>
    </x:row>
    <x:row r="27">
      <x:c r="A27" s="6" t="n">
        <x:v>46142</x:v>
      </x:c>
      <x:c r="B27" s="10" t="n">
        <x:v>0.0704861362034454</x:v>
      </x:c>
    </x:row>
    <x:row r="28">
      <x:c r="A28" s="6" t="n">
        <x:v>46173</x:v>
      </x:c>
      <x:c r="B28" s="10" t="n">
        <x:v>0.0607196632829261</x:v>
      </x:c>
    </x:row>
    <x:row r="29">
      <x:c r="A29" s="6" t="n">
        <x:v>46203</x:v>
      </x:c>
      <x:c r="B29" s="10" t="n">
        <x:v>0.0066737666074658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4" hidden="0" customWidth="1"/>
    <x:col min="3" max="3" width="14" hidden="0" customWidth="1"/>
    <x:col min="4" max="4" width="58" hidden="0" customWidth="1"/>
    <x:col min="5" max="5" width="78" hidden="0" customWidth="1"/>
    <x:col min="6" max="6" width="45" hidden="0" customWidth="1"/>
    <x:col min="8" max="8" width="14" hidden="0" customWidth="1"/>
    <x:col min="9" max="9" width="16" hidden="0" customWidth="1"/>
    <x:col min="7" max="7" width="70" hidden="0" customWidth="1"/>
  </x:cols>
  <x:sheetData>
    <x:row r="1">
      <x:c r="A1" s="3" t="str">
        <x:v>series</x:v>
      </x:c>
      <x:c r="B1" s="3" t="str">
        <x:v>used_from</x:v>
      </x:c>
      <x:c r="C1" s="3" t="str">
        <x:v>used_to</x:v>
      </x:c>
      <x:c r="D1" s="3" t="str">
        <x:v>role</x:v>
      </x:c>
      <x:c r="E1" s="3" t="str">
        <x:v>source_link</x:v>
      </x:c>
      <x:c r="F1" s="3" t="str">
        <x:v>data_file_or_method</x:v>
      </x:c>
      <x:c r="G1" s="21" t="str">
        <x:v>provenance_link</x:v>
      </x:c>
      <x:c r="H1" s="19" t="str">
        <x:v>date</x:v>
      </x:c>
      <x:c r="I1" s="19" t="str">
        <x:v>ONS_CPI_D7BT</x:v>
      </x:c>
    </x:row>
    <x:row r="2">
      <x:c r="A2" t="str">
        <x:v>MSCI ACWI GBP Net Return Index</x:v>
      </x:c>
      <x:c r="B2" t="str">
        <x:v>1994-05-31</x:v>
      </x:c>
      <x:c r="C2" t="str">
        <x:v>2006-05-31</x:v>
      </x:c>
      <x:c r="D2" s="14" t="str">
        <x:v>broad global equity net total return history in GBP; MSCI's official factsheet confirms the GBP series is Net Returns and states the index launched on 1 January 2001, so the 1994-2000 section is back tested index history</x:v>
      </x:c>
      <x:c r="E2" s="14" t="str">
        <x:v>https://www.msci.com/documents/10199/255599/msci-acwi-index-gbp-net.pdf</x:v>
      </x:c>
      <x:c r="F2" s="14" t="str">
        <x:v>monthly historical levels sourced via Curvo; index definition and return basis verified against MSCI</x:v>
      </x:c>
      <x:c r="G2" s="14" t="str">
        <x:v>https://curvo.eu/backtest/en/market-index/msci-acwi?currency=gbp</x:v>
      </x:c>
      <x:c r="H2" s="6" t="n">
        <x:v>34485</x:v>
      </x:c>
      <x:c r="I2" s="12" t="n">
        <x:v>65.8</x:v>
      </x:c>
    </x:row>
    <x:row r="3">
      <x:c r="A3" t="str">
        <x:v>Solactive GBS Global Markets Large &amp; Mid Cap GBP Index NTR</x:v>
      </x:c>
      <x:c r="B3" t="str">
        <x:v>2006-05-08</x:v>
      </x:c>
      <x:c r="C3" t="str">
        <x:v>2024-02-29</x:v>
      </x:c>
      <x:c r="D3" s="14" t="str">
        <x:v>GBP NTR equivalent of PACW's Solactive benchmark; combined series uses monthly returns from Jun-2006</x:v>
      </x:c>
      <x:c r="E3" s="14" t="str">
        <x:v>https://www.solactive.com/index/DE000SL0BAK1/</x:v>
      </x:c>
      <x:c r="F3" s="14" t="str">
        <x:v>included in Solactive_GBS tab</x:v>
      </x:c>
      <x:c r="H3" s="6" t="n">
        <x:v>34515</x:v>
      </x:c>
      <x:c r="I3" s="12" t="n">
        <x:v>65.8</x:v>
      </x:c>
    </x:row>
    <x:row r="4">
      <x:c r="A4" t="str">
        <x:v>PACW actual</x:v>
      </x:c>
      <x:c r="B4" t="str">
        <x:v>2024-03-31</x:v>
      </x:c>
      <x:c r="C4" t="str">
        <x:v>2026-06-30</x:v>
      </x:c>
      <x:c r="D4" s="14" t="str">
        <x:v>actual PACW GBP total returns; grossed up by the 0.07% OCF in the combined underlying return series</x:v>
      </x:c>
      <x:c r="E4" s="14" t="str">
        <x:v>https://www.amundietf.co.uk/en/professional/products/equity/amundi-prime-all-country-world-ucits-etf-acc/ie0003xja0j9</x:v>
      </x:c>
      <x:c r="F4" s="14" t="str">
        <x:v>included in PACW_Actual tab</x:v>
      </x:c>
      <x:c r="H4" s="6" t="n">
        <x:v>34546</x:v>
      </x:c>
      <x:c r="I4" s="12" t="n">
        <x:v>65.4</x:v>
      </x:c>
    </x:row>
    <x:row r="5">
      <x:c r="A5" t="str">
        <x:v>ONS CPI D7BT</x:v>
      </x:c>
      <x:c r="B5" t="str">
        <x:v>1994-05-31</x:v>
      </x:c>
      <x:c r="C5" t="str">
        <x:v>2026-06-30</x:v>
      </x:c>
      <x:c r="D5" s="14" t="str">
        <x:v>inflation adjustment</x:v>
      </x:c>
      <x:c r="E5" s="14" t="str">
        <x:v>https://www.ons.gov.uk/economy/inflationandpriceindices/timeseries/d7bt/mm23</x:v>
      </x:c>
      <x:c r="F5" s="14" t="str">
        <x:v>included in Sources columns H:I</x:v>
      </x:c>
      <x:c r="H5" s="6" t="n">
        <x:v>34577</x:v>
      </x:c>
      <x:c r="I5" s="12" t="n">
        <x:v>65.7</x:v>
      </x:c>
    </x:row>
    <x:row r="6">
      <x:c r="H6" s="6" t="n">
        <x:v>34607</x:v>
      </x:c>
      <x:c r="I6" s="12" t="n">
        <x:v>65.8</x:v>
      </x:c>
    </x:row>
    <x:row r="7">
      <x:c r="A7" s="17" t="str">
        <x:v>Median salary by age</x:v>
      </x:c>
      <x:c r="B7" s="17" t="str">
        <x:v>2025</x:v>
      </x:c>
      <x:c r="C7" s="17" t="str">
        <x:v>2025</x:v>
      </x:c>
      <x:c r="D7" s="17" t="str">
        <x:v>full time median annual earnings used for the age based salary assumptions</x:v>
      </x:c>
      <x:c r="E7" s="17" t="str">
        <x:v>https://www.ons.gov.uk/employmentandlabourmarket/peopleinwork/earningsandworkinghours/datasets/agegroupashetable6</x:v>
      </x:c>
      <x:c r="F7" s="17" t="str">
        <x:v>ONS ASHE Table 6, 2025 provisional</x:v>
      </x:c>
      <x:c r="H7" s="6" t="n">
        <x:v>34638</x:v>
      </x:c>
      <x:c r="I7" s="12" t="n">
        <x:v>65.7</x:v>
      </x:c>
    </x:row>
    <x:row r="8">
      <x:c r="A8" s="17" t="str">
        <x:v>Pension contribution rates</x:v>
      </x:c>
      <x:c r="B8" s="17" t="str">
        <x:v>current</x:v>
      </x:c>
      <x:c r="C8" s="17" t="str">
        <x:v>current</x:v>
      </x:c>
      <x:c r="D8" s="17" t="str">
        <x:v>5% employee + 3% employer = 8% total contribution; employee contribution is modelled gross, so standard pension tax relief is already reflected in the amount entering the pension</x:v>
      </x:c>
      <x:c r="E8" s="17" t="str">
        <x:v>https://www.gov.uk/workplace-pensions/what-you-your-employer-and-the-government-pay</x:v>
      </x:c>
      <x:c r="F8" s="17" t="str">
        <x:v>gross pension contribution assumption</x:v>
      </x:c>
      <x:c r="H8" s="6" t="n">
        <x:v>34668</x:v>
      </x:c>
      <x:c r="I8" s="12" t="n">
        <x:v>65.7</x:v>
      </x:c>
    </x:row>
    <x:row r="9">
      <x:c r="A9" s="17" t="str">
        <x:v>SIPP platform fee</x:v>
      </x:c>
      <x:c r="B9" s="17" t="str">
        <x:v>2026</x:v>
      </x:c>
      <x:c r="C9" s="17" t="str">
        <x:v>2026</x:v>
      </x:c>
      <x:c r="D9" s="17" t="str">
        <x:v>£0 platform fee used in the SIPP comparison</x:v>
      </x:c>
      <x:c r="E9" s="17" t="str"/>
      <x:c r="F9" s="17" t="str">
        <x:v>model assumption</x:v>
      </x:c>
      <x:c r="H9" s="6" t="n">
        <x:v>34699</x:v>
      </x:c>
      <x:c r="I9" s="12" t="n">
        <x:v>66</x:v>
      </x:c>
    </x:row>
    <x:row r="10">
      <x:c r="A10" s="17" t="str">
        <x:v>PACW fund fee</x:v>
      </x:c>
      <x:c r="B10" s="17" t="str">
        <x:v>2026</x:v>
      </x:c>
      <x:c r="C10" s="17" t="str">
        <x:v>2026</x:v>
      </x:c>
      <x:c r="D10" s="17" t="str">
        <x:v>0.07% annual fund charge used for PACW</x:v>
      </x:c>
      <x:c r="E10" s="17" t="str">
        <x:v>https://www.amundietf.co.uk/pdfDocuments/monthly-factsheet/IE0003XJA0J9/ENG/GBR/INSTITUTIONNEL/ETF/20260430</x:v>
      </x:c>
      <x:c r="F10" s="17" t="str">
        <x:v>Amundi PACW factsheet</x:v>
      </x:c>
      <x:c r="H10" s="6" t="n">
        <x:v>34730</x:v>
      </x:c>
      <x:c r="I10" s="12" t="n">
        <x:v>66</x:v>
      </x:c>
    </x:row>
    <x:row r="11">
      <x:c r="A11" s="17" t="str">
        <x:v>Smart Pension charges</x:v>
      </x:c>
      <x:c r="B11" s="17" t="str">
        <x:v>scheme specific</x:v>
      </x:c>
      <x:c r="C11" s="17" t="str">
        <x:v>scheme specific</x:v>
      </x:c>
      <x:c r="D11" s="17" t="str">
        <x:v>Smart Pension charge assumption used in the comparison; member charges are shown in the account / annual statement</x:v>
      </x:c>
      <x:c r="E11" s="17" t="str">
        <x:v>https://www.smartpension.co.uk/support/en/articles/12256545-your-2025-annual-pension-statement</x:v>
      </x:c>
      <x:c r="F11" s="17" t="str">
        <x:v>Smart Pension member charge guidance</x:v>
      </x:c>
      <x:c r="H11" s="6" t="n">
        <x:v>34758</x:v>
      </x:c>
      <x:c r="I11" s="12" t="n">
        <x:v>66.3</x:v>
      </x:c>
    </x:row>
    <x:row r="12">
      <x:c r="A12" s="17" t="str">
        <x:v>Inflation adjustment</x:v>
      </x:c>
      <x:c r="B12" s="17" t="str">
        <x:v>1994-05-31</x:v>
      </x:c>
      <x:c r="C12" s="17" t="str">
        <x:v>2026-06-30</x:v>
      </x:c>
      <x:c r="D12" s="17" t="str">
        <x:v>monthly investment returns are converted to real GBP using ONS CPI; salary contributions and the £1.50 monthly Smart fee are treated as constant current pound amounts, so ending values are directly comparable in today's purchasing power</x:v>
      </x:c>
      <x:c r="E12" s="17" t="str">
        <x:v>https://www.ons.gov.uk/economy/inflationandpriceindices/timeseries/d7bt/mm23</x:v>
      </x:c>
      <x:c r="F12" s="17" t="str">
        <x:v>ONS CPI D7BT</x:v>
      </x:c>
      <x:c r="H12" s="6" t="n">
        <x:v>34789</x:v>
      </x:c>
      <x:c r="I12" s="12" t="n">
        <x:v>66.7</x:v>
      </x:c>
    </x:row>
    <x:row r="13">
      <x:c r="A13" s="22" t="str">
        <x:v>Pension tax treatment</x:v>
      </x:c>
      <x:c r="B13" s="22" t="str">
        <x:v>current</x:v>
      </x:c>
      <x:c r="C13" s="22" t="str">
        <x:v>current</x:v>
      </x:c>
      <x:c r="D13" s="22" t="str">
        <x:v>Smart Pension currently uses a net pay arrangement, so employee contributions are paid gross through payroll; personal pensions normally receive relief at source, so the model compares equal gross pension contributions rather than take home pay cost</x:v>
      </x:c>
      <x:c r="E13" s="22" t="str">
        <x:v>https://www.smartpension.co.uk/support/en/articles/2477-pension-tax-relief</x:v>
      </x:c>
      <x:c r="F13" s="22" t="str">
        <x:v>tax treatment affects take home pay mechanics, not the gross contribution modelled here</x:v>
      </x:c>
      <x:c r="H13" s="6" t="n">
        <x:v>34819</x:v>
      </x:c>
      <x:c r="I13" s="12" t="n">
        <x:v>67</x:v>
      </x:c>
    </x:row>
    <x:row r="14">
      <x:c r="A14" s="22" t="str">
        <x:v>Contribution timing</x:v>
      </x:c>
      <x:c r="B14" s="22" t="str">
        <x:v>model assumption</x:v>
      </x:c>
      <x:c r="C14" s="22" t="str">
        <x:v>model assumption</x:v>
      </x:c>
      <x:c r="D14" s="22" t="str">
        <x:v>monthly contributions are added at month end after that month's investment return; this is a consistent simplifying assumption for both approaches</x:v>
      </x:c>
      <x:c r="E14" s="22" t="str">
        <x:v>https://www.smartpension.co.uk/support/en/articles/6006770-change-how-much-you-pay-into-your-pension</x:v>
      </x:c>
      <x:c r="F14" s="22" t="str">
        <x:v>Smart Pension states contributions can appear in the pot within 6 weeks of receiving payroll data</x:v>
      </x:c>
      <x:c r="H14" s="6" t="n">
        <x:v>34850</x:v>
      </x:c>
      <x:c r="I14" s="12" t="n">
        <x:v>67.4</x:v>
      </x:c>
    </x:row>
    <x:row r="15">
      <x:c r="H15" s="6" t="n">
        <x:v>34880</x:v>
      </x:c>
      <x:c r="I15" s="12" t="n">
        <x:v>67.4</x:v>
      </x:c>
    </x:row>
    <x:row r="16">
      <x:c r="H16" s="6" t="n">
        <x:v>34911</x:v>
      </x:c>
      <x:c r="I16" s="12" t="n">
        <x:v>67.1</x:v>
      </x:c>
    </x:row>
    <x:row r="17">
      <x:c r="H17" s="6" t="n">
        <x:v>34942</x:v>
      </x:c>
      <x:c r="I17" s="12" t="n">
        <x:v>67.4</x:v>
      </x:c>
    </x:row>
    <x:row r="18">
      <x:c r="H18" s="6" t="n">
        <x:v>34972</x:v>
      </x:c>
      <x:c r="I18" s="12" t="n">
        <x:v>67.7</x:v>
      </x:c>
    </x:row>
    <x:row r="19">
      <x:c r="H19" s="6" t="n">
        <x:v>35003</x:v>
      </x:c>
      <x:c r="I19" s="12" t="n">
        <x:v>67.6</x:v>
      </x:c>
    </x:row>
    <x:row r="20">
      <x:c r="H20" s="6" t="n">
        <x:v>35033</x:v>
      </x:c>
      <x:c r="I20" s="12" t="n">
        <x:v>67.6</x:v>
      </x:c>
    </x:row>
    <x:row r="21">
      <x:c r="H21" s="6" t="n">
        <x:v>35064</x:v>
      </x:c>
      <x:c r="I21" s="12" t="n">
        <x:v>68</x:v>
      </x:c>
    </x:row>
    <x:row r="22">
      <x:c r="H22" s="6" t="n">
        <x:v>35095</x:v>
      </x:c>
      <x:c r="I22" s="12" t="n">
        <x:v>67.8</x:v>
      </x:c>
    </x:row>
    <x:row r="23">
      <x:c r="H23" s="6" t="n">
        <x:v>35124</x:v>
      </x:c>
      <x:c r="I23" s="12" t="n">
        <x:v>68.1</x:v>
      </x:c>
    </x:row>
    <x:row r="24">
      <x:c r="H24" s="6" t="n">
        <x:v>35155</x:v>
      </x:c>
      <x:c r="I24" s="12" t="n">
        <x:v>68.4</x:v>
      </x:c>
    </x:row>
    <x:row r="25">
      <x:c r="H25" s="6" t="n">
        <x:v>35185</x:v>
      </x:c>
      <x:c r="I25" s="12" t="n">
        <x:v>68.7</x:v>
      </x:c>
    </x:row>
    <x:row r="26">
      <x:c r="H26" s="6" t="n">
        <x:v>35216</x:v>
      </x:c>
      <x:c r="I26" s="12" t="n">
        <x:v>68.9</x:v>
      </x:c>
    </x:row>
    <x:row r="27">
      <x:c r="H27" s="6" t="n">
        <x:v>35246</x:v>
      </x:c>
      <x:c r="I27" s="12" t="n">
        <x:v>69</x:v>
      </x:c>
    </x:row>
    <x:row r="28">
      <x:c r="H28" s="6" t="n">
        <x:v>35277</x:v>
      </x:c>
      <x:c r="I28" s="12" t="n">
        <x:v>68.6</x:v>
      </x:c>
    </x:row>
    <x:row r="29">
      <x:c r="H29" s="6" t="n">
        <x:v>35308</x:v>
      </x:c>
      <x:c r="I29" s="12" t="n">
        <x:v>68.9</x:v>
      </x:c>
    </x:row>
    <x:row r="30">
      <x:c r="H30" s="6" t="n">
        <x:v>35338</x:v>
      </x:c>
      <x:c r="I30" s="12" t="n">
        <x:v>69.3</x:v>
      </x:c>
    </x:row>
    <x:row r="31">
      <x:c r="H31" s="6" t="n">
        <x:v>35369</x:v>
      </x:c>
      <x:c r="I31" s="12" t="n">
        <x:v>69.3</x:v>
      </x:c>
    </x:row>
    <x:row r="32">
      <x:c r="H32" s="6" t="n">
        <x:v>35399</x:v>
      </x:c>
      <x:c r="I32" s="12" t="n">
        <x:v>69.3</x:v>
      </x:c>
    </x:row>
    <x:row r="33">
      <x:c r="H33" s="6" t="n">
        <x:v>35430</x:v>
      </x:c>
      <x:c r="I33" s="12" t="n">
        <x:v>69.5</x:v>
      </x:c>
    </x:row>
    <x:row r="34">
      <x:c r="H34" s="6" t="n">
        <x:v>35461</x:v>
      </x:c>
      <x:c r="I34" s="12" t="n">
        <x:v>69.2</x:v>
      </x:c>
    </x:row>
    <x:row r="35">
      <x:c r="H35" s="6" t="n">
        <x:v>35489</x:v>
      </x:c>
      <x:c r="I35" s="12" t="n">
        <x:v>69.4</x:v>
      </x:c>
    </x:row>
    <x:row r="36">
      <x:c r="H36" s="6" t="n">
        <x:v>35520</x:v>
      </x:c>
      <x:c r="I36" s="12" t="n">
        <x:v>69.5</x:v>
      </x:c>
    </x:row>
    <x:row r="37">
      <x:c r="H37" s="6" t="n">
        <x:v>35550</x:v>
      </x:c>
      <x:c r="I37" s="12" t="n">
        <x:v>69.8</x:v>
      </x:c>
    </x:row>
    <x:row r="38">
      <x:c r="H38" s="6" t="n">
        <x:v>35581</x:v>
      </x:c>
      <x:c r="I38" s="12" t="n">
        <x:v>70</x:v>
      </x:c>
    </x:row>
    <x:row r="39">
      <x:c r="H39" s="6" t="n">
        <x:v>35611</x:v>
      </x:c>
      <x:c r="I39" s="12" t="n">
        <x:v>70.2</x:v>
      </x:c>
    </x:row>
    <x:row r="40">
      <x:c r="H40" s="6" t="n">
        <x:v>35642</x:v>
      </x:c>
      <x:c r="I40" s="12" t="n">
        <x:v>69.9</x:v>
      </x:c>
    </x:row>
    <x:row r="41">
      <x:c r="H41" s="6" t="n">
        <x:v>35673</x:v>
      </x:c>
      <x:c r="I41" s="12" t="n">
        <x:v>70.3</x:v>
      </x:c>
    </x:row>
    <x:row r="42">
      <x:c r="H42" s="6" t="n">
        <x:v>35703</x:v>
      </x:c>
      <x:c r="I42" s="12" t="n">
        <x:v>70.6</x:v>
      </x:c>
    </x:row>
    <x:row r="43">
      <x:c r="H43" s="6" t="n">
        <x:v>35734</x:v>
      </x:c>
      <x:c r="I43" s="12" t="n">
        <x:v>70.6</x:v>
      </x:c>
    </x:row>
    <x:row r="44">
      <x:c r="H44" s="6" t="n">
        <x:v>35764</x:v>
      </x:c>
      <x:c r="I44" s="12" t="n">
        <x:v>70.6</x:v>
      </x:c>
    </x:row>
    <x:row r="45">
      <x:c r="H45" s="6" t="n">
        <x:v>35795</x:v>
      </x:c>
      <x:c r="I45" s="12" t="n">
        <x:v>70.7</x:v>
      </x:c>
    </x:row>
    <x:row r="46">
      <x:c r="H46" s="6" t="n">
        <x:v>35826</x:v>
      </x:c>
      <x:c r="I46" s="12" t="n">
        <x:v>70.3</x:v>
      </x:c>
    </x:row>
    <x:row r="47">
      <x:c r="H47" s="6" t="n">
        <x:v>35854</x:v>
      </x:c>
      <x:c r="I47" s="12" t="n">
        <x:v>70.5</x:v>
      </x:c>
    </x:row>
    <x:row r="48">
      <x:c r="H48" s="6" t="n">
        <x:v>35885</x:v>
      </x:c>
      <x:c r="I48" s="12" t="n">
        <x:v>70.7</x:v>
      </x:c>
    </x:row>
    <x:row r="49">
      <x:c r="H49" s="6" t="n">
        <x:v>35915</x:v>
      </x:c>
      <x:c r="I49" s="12" t="n">
        <x:v>71.1</x:v>
      </x:c>
    </x:row>
    <x:row r="50">
      <x:c r="H50" s="6" t="n">
        <x:v>35946</x:v>
      </x:c>
      <x:c r="I50" s="12" t="n">
        <x:v>71.4</x:v>
      </x:c>
    </x:row>
    <x:row r="51">
      <x:c r="H51" s="6" t="n">
        <x:v>35976</x:v>
      </x:c>
      <x:c r="I51" s="12" t="n">
        <x:v>71.3</x:v>
      </x:c>
    </x:row>
    <x:row r="52">
      <x:c r="H52" s="6" t="n">
        <x:v>36007</x:v>
      </x:c>
      <x:c r="I52" s="12" t="n">
        <x:v>71</x:v>
      </x:c>
    </x:row>
    <x:row r="53">
      <x:c r="H53" s="6" t="n">
        <x:v>36038</x:v>
      </x:c>
      <x:c r="I53" s="12" t="n">
        <x:v>71.2</x:v>
      </x:c>
    </x:row>
    <x:row r="54">
      <x:c r="H54" s="6" t="n">
        <x:v>36068</x:v>
      </x:c>
      <x:c r="I54" s="12" t="n">
        <x:v>71.5</x:v>
      </x:c>
    </x:row>
    <x:row r="55">
      <x:c r="H55" s="6" t="n">
        <x:v>36099</x:v>
      </x:c>
      <x:c r="I55" s="12" t="n">
        <x:v>71.5</x:v>
      </x:c>
    </x:row>
    <x:row r="56">
      <x:c r="H56" s="6" t="n">
        <x:v>36129</x:v>
      </x:c>
      <x:c r="I56" s="12" t="n">
        <x:v>71.6</x:v>
      </x:c>
    </x:row>
    <x:row r="57">
      <x:c r="H57" s="6" t="n">
        <x:v>36160</x:v>
      </x:c>
      <x:c r="I57" s="12" t="n">
        <x:v>71.8</x:v>
      </x:c>
    </x:row>
    <x:row r="58">
      <x:c r="H58" s="6" t="n">
        <x:v>36191</x:v>
      </x:c>
      <x:c r="I58" s="12" t="n">
        <x:v>71.4</x:v>
      </x:c>
    </x:row>
    <x:row r="59">
      <x:c r="H59" s="6" t="n">
        <x:v>36219</x:v>
      </x:c>
      <x:c r="I59" s="12" t="n">
        <x:v>71.5</x:v>
      </x:c>
    </x:row>
    <x:row r="60">
      <x:c r="H60" s="6" t="n">
        <x:v>36250</x:v>
      </x:c>
      <x:c r="I60" s="12" t="n">
        <x:v>71.9</x:v>
      </x:c>
    </x:row>
    <x:row r="61">
      <x:c r="H61" s="6" t="n">
        <x:v>36280</x:v>
      </x:c>
      <x:c r="I61" s="12" t="n">
        <x:v>72.2</x:v>
      </x:c>
    </x:row>
    <x:row r="62">
      <x:c r="H62" s="6" t="n">
        <x:v>36311</x:v>
      </x:c>
      <x:c r="I62" s="12" t="n">
        <x:v>72.4</x:v>
      </x:c>
    </x:row>
    <x:row r="63">
      <x:c r="H63" s="6" t="n">
        <x:v>36341</x:v>
      </x:c>
      <x:c r="I63" s="12" t="n">
        <x:v>72.3</x:v>
      </x:c>
    </x:row>
    <x:row r="64">
      <x:c r="H64" s="6" t="n">
        <x:v>36372</x:v>
      </x:c>
      <x:c r="I64" s="12" t="n">
        <x:v>71.9</x:v>
      </x:c>
    </x:row>
    <x:row r="65">
      <x:c r="H65" s="6" t="n">
        <x:v>36403</x:v>
      </x:c>
      <x:c r="I65" s="12" t="n">
        <x:v>72.1</x:v>
      </x:c>
    </x:row>
    <x:row r="66">
      <x:c r="H66" s="6" t="n">
        <x:v>36433</x:v>
      </x:c>
      <x:c r="I66" s="12" t="n">
        <x:v>72.4</x:v>
      </x:c>
    </x:row>
    <x:row r="67">
      <x:c r="H67" s="6" t="n">
        <x:v>36464</x:v>
      </x:c>
      <x:c r="I67" s="12" t="n">
        <x:v>72.3</x:v>
      </x:c>
    </x:row>
    <x:row r="68">
      <x:c r="H68" s="6" t="n">
        <x:v>36494</x:v>
      </x:c>
      <x:c r="I68" s="12" t="n">
        <x:v>72.4</x:v>
      </x:c>
    </x:row>
    <x:row r="69">
      <x:c r="H69" s="6" t="n">
        <x:v>36525</x:v>
      </x:c>
      <x:c r="I69" s="12" t="n">
        <x:v>72.6</x:v>
      </x:c>
    </x:row>
    <x:row r="70">
      <x:c r="H70" s="6" t="n">
        <x:v>36556</x:v>
      </x:c>
      <x:c r="I70" s="12" t="n">
        <x:v>71.9</x:v>
      </x:c>
    </x:row>
    <x:row r="71">
      <x:c r="H71" s="6" t="n">
        <x:v>36585</x:v>
      </x:c>
      <x:c r="I71" s="12" t="n">
        <x:v>72.2</x:v>
      </x:c>
    </x:row>
    <x:row r="72">
      <x:c r="H72" s="6" t="n">
        <x:v>36616</x:v>
      </x:c>
      <x:c r="I72" s="12" t="n">
        <x:v>72.3</x:v>
      </x:c>
    </x:row>
    <x:row r="73">
      <x:c r="H73" s="6" t="n">
        <x:v>36646</x:v>
      </x:c>
      <x:c r="I73" s="12" t="n">
        <x:v>72.6</x:v>
      </x:c>
    </x:row>
    <x:row r="74">
      <x:c r="H74" s="6" t="n">
        <x:v>36677</x:v>
      </x:c>
      <x:c r="I74" s="12" t="n">
        <x:v>72.8</x:v>
      </x:c>
    </x:row>
    <x:row r="75">
      <x:c r="H75" s="6" t="n">
        <x:v>36707</x:v>
      </x:c>
      <x:c r="I75" s="12" t="n">
        <x:v>72.9</x:v>
      </x:c>
    </x:row>
    <x:row r="76">
      <x:c r="H76" s="6" t="n">
        <x:v>36738</x:v>
      </x:c>
      <x:c r="I76" s="12" t="n">
        <x:v>72.5</x:v>
      </x:c>
    </x:row>
    <x:row r="77">
      <x:c r="H77" s="6" t="n">
        <x:v>36769</x:v>
      </x:c>
      <x:c r="I77" s="12" t="n">
        <x:v>72.5</x:v>
      </x:c>
    </x:row>
    <x:row r="78">
      <x:c r="H78" s="6" t="n">
        <x:v>36799</x:v>
      </x:c>
      <x:c r="I78" s="12" t="n">
        <x:v>73.1</x:v>
      </x:c>
    </x:row>
    <x:row r="79">
      <x:c r="H79" s="6" t="n">
        <x:v>36830</x:v>
      </x:c>
      <x:c r="I79" s="12" t="n">
        <x:v>73.1</x:v>
      </x:c>
    </x:row>
    <x:row r="80">
      <x:c r="H80" s="6" t="n">
        <x:v>36860</x:v>
      </x:c>
      <x:c r="I80" s="12" t="n">
        <x:v>73.2</x:v>
      </x:c>
    </x:row>
    <x:row r="81">
      <x:c r="H81" s="6" t="n">
        <x:v>36891</x:v>
      </x:c>
      <x:c r="I81" s="12" t="n">
        <x:v>73.2</x:v>
      </x:c>
    </x:row>
    <x:row r="82">
      <x:c r="H82" s="6" t="n">
        <x:v>36922</x:v>
      </x:c>
      <x:c r="I82" s="12" t="n">
        <x:v>72.6</x:v>
      </x:c>
    </x:row>
    <x:row r="83">
      <x:c r="H83" s="6" t="n">
        <x:v>36950</x:v>
      </x:c>
      <x:c r="I83" s="12" t="n">
        <x:v>72.7</x:v>
      </x:c>
    </x:row>
    <x:row r="84">
      <x:c r="H84" s="6" t="n">
        <x:v>36981</x:v>
      </x:c>
      <x:c r="I84" s="12" t="n">
        <x:v>73</x:v>
      </x:c>
    </x:row>
    <x:row r="85">
      <x:c r="H85" s="6" t="n">
        <x:v>37011</x:v>
      </x:c>
      <x:c r="I85" s="12" t="n">
        <x:v>73.4</x:v>
      </x:c>
    </x:row>
    <x:row r="86">
      <x:c r="H86" s="6" t="n">
        <x:v>37042</x:v>
      </x:c>
      <x:c r="I86" s="12" t="n">
        <x:v>74</x:v>
      </x:c>
    </x:row>
    <x:row r="87">
      <x:c r="H87" s="6" t="n">
        <x:v>37072</x:v>
      </x:c>
      <x:c r="I87" s="12" t="n">
        <x:v>74.1</x:v>
      </x:c>
    </x:row>
    <x:row r="88">
      <x:c r="H88" s="6" t="n">
        <x:v>37103</x:v>
      </x:c>
      <x:c r="I88" s="12" t="n">
        <x:v>73.6</x:v>
      </x:c>
    </x:row>
    <x:row r="89">
      <x:c r="H89" s="6" t="n">
        <x:v>37134</x:v>
      </x:c>
      <x:c r="I89" s="12" t="n">
        <x:v>73.9</x:v>
      </x:c>
    </x:row>
    <x:row r="90">
      <x:c r="H90" s="6" t="n">
        <x:v>37164</x:v>
      </x:c>
      <x:c r="I90" s="12" t="n">
        <x:v>74.1</x:v>
      </x:c>
    </x:row>
    <x:row r="91">
      <x:c r="H91" s="6" t="n">
        <x:v>37195</x:v>
      </x:c>
      <x:c r="I91" s="12" t="n">
        <x:v>73.9</x:v>
      </x:c>
    </x:row>
    <x:row r="92">
      <x:c r="H92" s="6" t="n">
        <x:v>37225</x:v>
      </x:c>
      <x:c r="I92" s="12" t="n">
        <x:v>73.8</x:v>
      </x:c>
    </x:row>
    <x:row r="93">
      <x:c r="H93" s="6" t="n">
        <x:v>37256</x:v>
      </x:c>
      <x:c r="I93" s="12" t="n">
        <x:v>74</x:v>
      </x:c>
    </x:row>
    <x:row r="94">
      <x:c r="H94" s="6" t="n">
        <x:v>37287</x:v>
      </x:c>
      <x:c r="I94" s="12" t="n">
        <x:v>73.7</x:v>
      </x:c>
    </x:row>
    <x:row r="95">
      <x:c r="H95" s="6" t="n">
        <x:v>37315</x:v>
      </x:c>
      <x:c r="I95" s="12" t="n">
        <x:v>73.8</x:v>
      </x:c>
    </x:row>
    <x:row r="96">
      <x:c r="H96" s="6" t="n">
        <x:v>37346</x:v>
      </x:c>
      <x:c r="I96" s="12" t="n">
        <x:v>74.1</x:v>
      </x:c>
    </x:row>
    <x:row r="97">
      <x:c r="H97" s="6" t="n">
        <x:v>37376</x:v>
      </x:c>
      <x:c r="I97" s="12" t="n">
        <x:v>74.4</x:v>
      </x:c>
    </x:row>
    <x:row r="98">
      <x:c r="H98" s="6" t="n">
        <x:v>37407</x:v>
      </x:c>
      <x:c r="I98" s="12" t="n">
        <x:v>74.6</x:v>
      </x:c>
    </x:row>
    <x:row r="99">
      <x:c r="H99" s="6" t="n">
        <x:v>37437</x:v>
      </x:c>
      <x:c r="I99" s="12" t="n">
        <x:v>74.6</x:v>
      </x:c>
    </x:row>
    <x:row r="100">
      <x:c r="H100" s="6" t="n">
        <x:v>37468</x:v>
      </x:c>
      <x:c r="I100" s="12" t="n">
        <x:v>74.4</x:v>
      </x:c>
    </x:row>
    <x:row r="101">
      <x:c r="H101" s="6" t="n">
        <x:v>37499</x:v>
      </x:c>
      <x:c r="I101" s="12" t="n">
        <x:v>74.6</x:v>
      </x:c>
    </x:row>
    <x:row r="102">
      <x:c r="H102" s="6" t="n">
        <x:v>37529</x:v>
      </x:c>
      <x:c r="I102" s="12" t="n">
        <x:v>74.8</x:v>
      </x:c>
    </x:row>
    <x:row r="103">
      <x:c r="H103" s="6" t="n">
        <x:v>37560</x:v>
      </x:c>
      <x:c r="I103" s="12" t="n">
        <x:v>74.9</x:v>
      </x:c>
    </x:row>
    <x:row r="104">
      <x:c r="H104" s="6" t="n">
        <x:v>37590</x:v>
      </x:c>
      <x:c r="I104" s="12" t="n">
        <x:v>74.9</x:v>
      </x:c>
    </x:row>
    <x:row r="105">
      <x:c r="H105" s="6" t="n">
        <x:v>37621</x:v>
      </x:c>
      <x:c r="I105" s="12" t="n">
        <x:v>75.2</x:v>
      </x:c>
    </x:row>
    <x:row r="106">
      <x:c r="H106" s="6" t="n">
        <x:v>37652</x:v>
      </x:c>
      <x:c r="I106" s="12" t="n">
        <x:v>74.7</x:v>
      </x:c>
    </x:row>
    <x:row r="107">
      <x:c r="H107" s="6" t="n">
        <x:v>37680</x:v>
      </x:c>
      <x:c r="I107" s="12" t="n">
        <x:v>75</x:v>
      </x:c>
    </x:row>
    <x:row r="108">
      <x:c r="H108" s="6" t="n">
        <x:v>37711</x:v>
      </x:c>
      <x:c r="I108" s="12" t="n">
        <x:v>75.3</x:v>
      </x:c>
    </x:row>
    <x:row r="109">
      <x:c r="H109" s="6" t="n">
        <x:v>37741</x:v>
      </x:c>
      <x:c r="I109" s="12" t="n">
        <x:v>75.5</x:v>
      </x:c>
    </x:row>
    <x:row r="110">
      <x:c r="H110" s="6" t="n">
        <x:v>37772</x:v>
      </x:c>
      <x:c r="I110" s="12" t="n">
        <x:v>75.5</x:v>
      </x:c>
    </x:row>
    <x:row r="111">
      <x:c r="H111" s="6" t="n">
        <x:v>37802</x:v>
      </x:c>
      <x:c r="I111" s="12" t="n">
        <x:v>75.4</x:v>
      </x:c>
    </x:row>
    <x:row r="112">
      <x:c r="H112" s="6" t="n">
        <x:v>37833</x:v>
      </x:c>
      <x:c r="I112" s="12" t="n">
        <x:v>75.3</x:v>
      </x:c>
    </x:row>
    <x:row r="113">
      <x:c r="H113" s="6" t="n">
        <x:v>37864</x:v>
      </x:c>
      <x:c r="I113" s="12" t="n">
        <x:v>75.6</x:v>
      </x:c>
    </x:row>
    <x:row r="114">
      <x:c r="H114" s="6" t="n">
        <x:v>37894</x:v>
      </x:c>
      <x:c r="I114" s="12" t="n">
        <x:v>75.9</x:v>
      </x:c>
    </x:row>
    <x:row r="115">
      <x:c r="H115" s="6" t="n">
        <x:v>37925</x:v>
      </x:c>
      <x:c r="I115" s="12" t="n">
        <x:v>76</x:v>
      </x:c>
    </x:row>
    <x:row r="116">
      <x:c r="H116" s="6" t="n">
        <x:v>37955</x:v>
      </x:c>
      <x:c r="I116" s="12" t="n">
        <x:v>75.9</x:v>
      </x:c>
    </x:row>
    <x:row r="117">
      <x:c r="H117" s="6" t="n">
        <x:v>37986</x:v>
      </x:c>
      <x:c r="I117" s="12" t="n">
        <x:v>76.2</x:v>
      </x:c>
    </x:row>
    <x:row r="118">
      <x:c r="H118" s="6" t="n">
        <x:v>38017</x:v>
      </x:c>
      <x:c r="I118" s="12" t="n">
        <x:v>75.8</x:v>
      </x:c>
    </x:row>
    <x:row r="119">
      <x:c r="H119" s="6" t="n">
        <x:v>38046</x:v>
      </x:c>
      <x:c r="I119" s="12" t="n">
        <x:v>76</x:v>
      </x:c>
    </x:row>
    <x:row r="120">
      <x:c r="H120" s="6" t="n">
        <x:v>38077</x:v>
      </x:c>
      <x:c r="I120" s="12" t="n">
        <x:v>76.1</x:v>
      </x:c>
    </x:row>
    <x:row r="121">
      <x:c r="H121" s="6" t="n">
        <x:v>38107</x:v>
      </x:c>
      <x:c r="I121" s="12" t="n">
        <x:v>76.4</x:v>
      </x:c>
    </x:row>
    <x:row r="122">
      <x:c r="H122" s="6" t="n">
        <x:v>38138</x:v>
      </x:c>
      <x:c r="I122" s="12" t="n">
        <x:v>76.6</x:v>
      </x:c>
    </x:row>
    <x:row r="123">
      <x:c r="H123" s="6" t="n">
        <x:v>38168</x:v>
      </x:c>
      <x:c r="I123" s="12" t="n">
        <x:v>76.6</x:v>
      </x:c>
    </x:row>
    <x:row r="124">
      <x:c r="H124" s="6" t="n">
        <x:v>38199</x:v>
      </x:c>
      <x:c r="I124" s="12" t="n">
        <x:v>76.4</x:v>
      </x:c>
    </x:row>
    <x:row r="125">
      <x:c r="H125" s="6" t="n">
        <x:v>38230</x:v>
      </x:c>
      <x:c r="I125" s="12" t="n">
        <x:v>76.6</x:v>
      </x:c>
    </x:row>
    <x:row r="126">
      <x:c r="H126" s="6" t="n">
        <x:v>38260</x:v>
      </x:c>
      <x:c r="I126" s="12" t="n">
        <x:v>76.7</x:v>
      </x:c>
    </x:row>
    <x:row r="127">
      <x:c r="H127" s="6" t="n">
        <x:v>38291</x:v>
      </x:c>
      <x:c r="I127" s="12" t="n">
        <x:v>76.9</x:v>
      </x:c>
    </x:row>
    <x:row r="128">
      <x:c r="H128" s="6" t="n">
        <x:v>38321</x:v>
      </x:c>
      <x:c r="I128" s="12" t="n">
        <x:v>77</x:v>
      </x:c>
    </x:row>
    <x:row r="129">
      <x:c r="H129" s="6" t="n">
        <x:v>38352</x:v>
      </x:c>
      <x:c r="I129" s="12" t="n">
        <x:v>77.4</x:v>
      </x:c>
    </x:row>
    <x:row r="130">
      <x:c r="H130" s="6" t="n">
        <x:v>38383</x:v>
      </x:c>
      <x:c r="I130" s="12" t="n">
        <x:v>77</x:v>
      </x:c>
    </x:row>
    <x:row r="131">
      <x:c r="H131" s="6" t="n">
        <x:v>38411</x:v>
      </x:c>
      <x:c r="I131" s="12" t="n">
        <x:v>77.2</x:v>
      </x:c>
    </x:row>
    <x:row r="132">
      <x:c r="H132" s="6" t="n">
        <x:v>38442</x:v>
      </x:c>
      <x:c r="I132" s="12" t="n">
        <x:v>77.5</x:v>
      </x:c>
    </x:row>
    <x:row r="133">
      <x:c r="H133" s="6" t="n">
        <x:v>38472</x:v>
      </x:c>
      <x:c r="I133" s="12" t="n">
        <x:v>77.8</x:v>
      </x:c>
    </x:row>
    <x:row r="134">
      <x:c r="H134" s="6" t="n">
        <x:v>38503</x:v>
      </x:c>
      <x:c r="I134" s="12" t="n">
        <x:v>78.1</x:v>
      </x:c>
    </x:row>
    <x:row r="135">
      <x:c r="H135" s="6" t="n">
        <x:v>38533</x:v>
      </x:c>
      <x:c r="I135" s="12" t="n">
        <x:v>78.1</x:v>
      </x:c>
    </x:row>
    <x:row r="136">
      <x:c r="H136" s="6" t="n">
        <x:v>38564</x:v>
      </x:c>
      <x:c r="I136" s="12" t="n">
        <x:v>78.2</x:v>
      </x:c>
    </x:row>
    <x:row r="137">
      <x:c r="H137" s="6" t="n">
        <x:v>38595</x:v>
      </x:c>
      <x:c r="I137" s="12" t="n">
        <x:v>78.4</x:v>
      </x:c>
    </x:row>
    <x:row r="138">
      <x:c r="H138" s="6" t="n">
        <x:v>38625</x:v>
      </x:c>
      <x:c r="I138" s="12" t="n">
        <x:v>78.6</x:v>
      </x:c>
    </x:row>
    <x:row r="139">
      <x:c r="H139" s="6" t="n">
        <x:v>38656</x:v>
      </x:c>
      <x:c r="I139" s="12" t="n">
        <x:v>78.7</x:v>
      </x:c>
    </x:row>
    <x:row r="140">
      <x:c r="H140" s="6" t="n">
        <x:v>38686</x:v>
      </x:c>
      <x:c r="I140" s="12" t="n">
        <x:v>78.7</x:v>
      </x:c>
    </x:row>
    <x:row r="141">
      <x:c r="H141" s="6" t="n">
        <x:v>38717</x:v>
      </x:c>
      <x:c r="I141" s="12" t="n">
        <x:v>78.9</x:v>
      </x:c>
    </x:row>
    <x:row r="142">
      <x:c r="H142" s="6" t="n">
        <x:v>38748</x:v>
      </x:c>
      <x:c r="I142" s="12" t="n">
        <x:v>78.5</x:v>
      </x:c>
    </x:row>
    <x:row r="143">
      <x:c r="H143" s="6" t="n">
        <x:v>38776</x:v>
      </x:c>
      <x:c r="I143" s="12" t="n">
        <x:v>78.8</x:v>
      </x:c>
    </x:row>
    <x:row r="144">
      <x:c r="H144" s="6" t="n">
        <x:v>38807</x:v>
      </x:c>
      <x:c r="I144" s="12" t="n">
        <x:v>78.9</x:v>
      </x:c>
    </x:row>
    <x:row r="145">
      <x:c r="H145" s="6" t="n">
        <x:v>38837</x:v>
      </x:c>
      <x:c r="I145" s="12" t="n">
        <x:v>79.4</x:v>
      </x:c>
    </x:row>
    <x:row r="146">
      <x:c r="H146" s="6" t="n">
        <x:v>38868</x:v>
      </x:c>
      <x:c r="I146" s="12" t="n">
        <x:v>79.9</x:v>
      </x:c>
    </x:row>
    <x:row r="147">
      <x:c r="H147" s="6" t="n">
        <x:v>38898</x:v>
      </x:c>
      <x:c r="I147" s="12" t="n">
        <x:v>80.1</x:v>
      </x:c>
    </x:row>
    <x:row r="148">
      <x:c r="H148" s="6" t="n">
        <x:v>38929</x:v>
      </x:c>
      <x:c r="I148" s="12" t="n">
        <x:v>80</x:v>
      </x:c>
    </x:row>
    <x:row r="149">
      <x:c r="H149" s="6" t="n">
        <x:v>38960</x:v>
      </x:c>
      <x:c r="I149" s="12" t="n">
        <x:v>80.4</x:v>
      </x:c>
    </x:row>
    <x:row r="150">
      <x:c r="H150" s="6" t="n">
        <x:v>38990</x:v>
      </x:c>
      <x:c r="I150" s="12" t="n">
        <x:v>80.5</x:v>
      </x:c>
    </x:row>
    <x:row r="151">
      <x:c r="H151" s="6" t="n">
        <x:v>39021</x:v>
      </x:c>
      <x:c r="I151" s="12" t="n">
        <x:v>80.6</x:v>
      </x:c>
    </x:row>
    <x:row r="152">
      <x:c r="H152" s="6" t="n">
        <x:v>39051</x:v>
      </x:c>
      <x:c r="I152" s="12" t="n">
        <x:v>80.8</x:v>
      </x:c>
    </x:row>
    <x:row r="153">
      <x:c r="H153" s="6" t="n">
        <x:v>39082</x:v>
      </x:c>
      <x:c r="I153" s="12" t="n">
        <x:v>81.3</x:v>
      </x:c>
    </x:row>
    <x:row r="154">
      <x:c r="H154" s="6" t="n">
        <x:v>39113</x:v>
      </x:c>
      <x:c r="I154" s="12" t="n">
        <x:v>80.6</x:v>
      </x:c>
    </x:row>
    <x:row r="155">
      <x:c r="H155" s="6" t="n">
        <x:v>39141</x:v>
      </x:c>
      <x:c r="I155" s="12" t="n">
        <x:v>81</x:v>
      </x:c>
    </x:row>
    <x:row r="156">
      <x:c r="H156" s="6" t="n">
        <x:v>39172</x:v>
      </x:c>
      <x:c r="I156" s="12" t="n">
        <x:v>81.4</x:v>
      </x:c>
    </x:row>
    <x:row r="157">
      <x:c r="H157" s="6" t="n">
        <x:v>39202</x:v>
      </x:c>
      <x:c r="I157" s="12" t="n">
        <x:v>81.6</x:v>
      </x:c>
    </x:row>
    <x:row r="158">
      <x:c r="H158" s="6" t="n">
        <x:v>39233</x:v>
      </x:c>
      <x:c r="I158" s="12" t="n">
        <x:v>81.8</x:v>
      </x:c>
    </x:row>
    <x:row r="159">
      <x:c r="H159" s="6" t="n">
        <x:v>39263</x:v>
      </x:c>
      <x:c r="I159" s="12" t="n">
        <x:v>82</x:v>
      </x:c>
    </x:row>
    <x:row r="160">
      <x:c r="H160" s="6" t="n">
        <x:v>39294</x:v>
      </x:c>
      <x:c r="I160" s="12" t="n">
        <x:v>81.5</x:v>
      </x:c>
    </x:row>
    <x:row r="161">
      <x:c r="H161" s="6" t="n">
        <x:v>39325</x:v>
      </x:c>
      <x:c r="I161" s="12" t="n">
        <x:v>81.8</x:v>
      </x:c>
    </x:row>
    <x:row r="162">
      <x:c r="H162" s="6" t="n">
        <x:v>39355</x:v>
      </x:c>
      <x:c r="I162" s="12" t="n">
        <x:v>81.9</x:v>
      </x:c>
    </x:row>
    <x:row r="163">
      <x:c r="H163" s="6" t="n">
        <x:v>39386</x:v>
      </x:c>
      <x:c r="I163" s="12" t="n">
        <x:v>82.3</x:v>
      </x:c>
    </x:row>
    <x:row r="164">
      <x:c r="H164" s="6" t="n">
        <x:v>39416</x:v>
      </x:c>
      <x:c r="I164" s="12" t="n">
        <x:v>82.5</x:v>
      </x:c>
    </x:row>
    <x:row r="165">
      <x:c r="H165" s="6" t="n">
        <x:v>39447</x:v>
      </x:c>
      <x:c r="I165" s="12" t="n">
        <x:v>83</x:v>
      </x:c>
    </x:row>
    <x:row r="166">
      <x:c r="H166" s="6" t="n">
        <x:v>39478</x:v>
      </x:c>
      <x:c r="I166" s="12" t="n">
        <x:v>82.4</x:v>
      </x:c>
    </x:row>
    <x:row r="167">
      <x:c r="H167" s="6" t="n">
        <x:v>39507</x:v>
      </x:c>
      <x:c r="I167" s="12" t="n">
        <x:v>83</x:v>
      </x:c>
    </x:row>
    <x:row r="168">
      <x:c r="H168" s="6" t="n">
        <x:v>39538</x:v>
      </x:c>
      <x:c r="I168" s="12" t="n">
        <x:v>83.4</x:v>
      </x:c>
    </x:row>
    <x:row r="169">
      <x:c r="H169" s="6" t="n">
        <x:v>39568</x:v>
      </x:c>
      <x:c r="I169" s="12" t="n">
        <x:v>84</x:v>
      </x:c>
    </x:row>
    <x:row r="170">
      <x:c r="H170" s="6" t="n">
        <x:v>39599</x:v>
      </x:c>
      <x:c r="I170" s="12" t="n">
        <x:v>84.6</x:v>
      </x:c>
    </x:row>
    <x:row r="171">
      <x:c r="H171" s="6" t="n">
        <x:v>39629</x:v>
      </x:c>
      <x:c r="I171" s="12" t="n">
        <x:v>85.2</x:v>
      </x:c>
    </x:row>
    <x:row r="172">
      <x:c r="H172" s="6" t="n">
        <x:v>39660</x:v>
      </x:c>
      <x:c r="I172" s="12" t="n">
        <x:v>85.1</x:v>
      </x:c>
    </x:row>
    <x:row r="173">
      <x:c r="H173" s="6" t="n">
        <x:v>39691</x:v>
      </x:c>
      <x:c r="I173" s="12" t="n">
        <x:v>85.7</x:v>
      </x:c>
    </x:row>
    <x:row r="174">
      <x:c r="H174" s="6" t="n">
        <x:v>39721</x:v>
      </x:c>
      <x:c r="I174" s="12" t="n">
        <x:v>86.1</x:v>
      </x:c>
    </x:row>
    <x:row r="175">
      <x:c r="H175" s="6" t="n">
        <x:v>39752</x:v>
      </x:c>
      <x:c r="I175" s="12" t="n">
        <x:v>85.9</x:v>
      </x:c>
    </x:row>
    <x:row r="176">
      <x:c r="H176" s="6" t="n">
        <x:v>39782</x:v>
      </x:c>
      <x:c r="I176" s="12" t="n">
        <x:v>85.8</x:v>
      </x:c>
    </x:row>
    <x:row r="177">
      <x:c r="H177" s="6" t="n">
        <x:v>39813</x:v>
      </x:c>
      <x:c r="I177" s="12" t="n">
        <x:v>85.5</x:v>
      </x:c>
    </x:row>
    <x:row r="178">
      <x:c r="H178" s="6" t="n">
        <x:v>39844</x:v>
      </x:c>
      <x:c r="I178" s="12" t="n">
        <x:v>84.9</x:v>
      </x:c>
    </x:row>
    <x:row r="179">
      <x:c r="H179" s="6" t="n">
        <x:v>39872</x:v>
      </x:c>
      <x:c r="I179" s="12" t="n">
        <x:v>85.6</x:v>
      </x:c>
    </x:row>
    <x:row r="180">
      <x:c r="H180" s="6" t="n">
        <x:v>39903</x:v>
      </x:c>
      <x:c r="I180" s="12" t="n">
        <x:v>85.8</x:v>
      </x:c>
    </x:row>
    <x:row r="181">
      <x:c r="H181" s="6" t="n">
        <x:v>39933</x:v>
      </x:c>
      <x:c r="I181" s="12" t="n">
        <x:v>86</x:v>
      </x:c>
    </x:row>
    <x:row r="182">
      <x:c r="H182" s="6" t="n">
        <x:v>39964</x:v>
      </x:c>
      <x:c r="I182" s="12" t="n">
        <x:v>86.4</x:v>
      </x:c>
    </x:row>
    <x:row r="183">
      <x:c r="H183" s="6" t="n">
        <x:v>39994</x:v>
      </x:c>
      <x:c r="I183" s="12" t="n">
        <x:v>86.7</x:v>
      </x:c>
    </x:row>
    <x:row r="184">
      <x:c r="H184" s="6" t="n">
        <x:v>40025</x:v>
      </x:c>
      <x:c r="I184" s="12" t="n">
        <x:v>86.7</x:v>
      </x:c>
    </x:row>
    <x:row r="185">
      <x:c r="H185" s="6" t="n">
        <x:v>40056</x:v>
      </x:c>
      <x:c r="I185" s="12" t="n">
        <x:v>87</x:v>
      </x:c>
    </x:row>
    <x:row r="186">
      <x:c r="H186" s="6" t="n">
        <x:v>40086</x:v>
      </x:c>
      <x:c r="I186" s="12" t="n">
        <x:v>87.1</x:v>
      </x:c>
    </x:row>
    <x:row r="187">
      <x:c r="H187" s="6" t="n">
        <x:v>40117</x:v>
      </x:c>
      <x:c r="I187" s="12" t="n">
        <x:v>87.2</x:v>
      </x:c>
    </x:row>
    <x:row r="188">
      <x:c r="H188" s="6" t="n">
        <x:v>40147</x:v>
      </x:c>
      <x:c r="I188" s="12" t="n">
        <x:v>87.5</x:v>
      </x:c>
    </x:row>
    <x:row r="189">
      <x:c r="H189" s="6" t="n">
        <x:v>40178</x:v>
      </x:c>
      <x:c r="I189" s="12" t="n">
        <x:v>88</x:v>
      </x:c>
    </x:row>
    <x:row r="190">
      <x:c r="H190" s="6" t="n">
        <x:v>40209</x:v>
      </x:c>
      <x:c r="I190" s="12" t="n">
        <x:v>87.8</x:v>
      </x:c>
    </x:row>
    <x:row r="191">
      <x:c r="H191" s="6" t="n">
        <x:v>40237</x:v>
      </x:c>
      <x:c r="I191" s="12" t="n">
        <x:v>88.2</x:v>
      </x:c>
    </x:row>
    <x:row r="192">
      <x:c r="H192" s="6" t="n">
        <x:v>40268</x:v>
      </x:c>
      <x:c r="I192" s="12" t="n">
        <x:v>88.7</x:v>
      </x:c>
    </x:row>
    <x:row r="193">
      <x:c r="H193" s="6" t="n">
        <x:v>40298</x:v>
      </x:c>
      <x:c r="I193" s="12" t="n">
        <x:v>89.2</x:v>
      </x:c>
    </x:row>
    <x:row r="194">
      <x:c r="H194" s="6" t="n">
        <x:v>40329</x:v>
      </x:c>
      <x:c r="I194" s="12" t="n">
        <x:v>89.4</x:v>
      </x:c>
    </x:row>
    <x:row r="195">
      <x:c r="H195" s="6" t="n">
        <x:v>40359</x:v>
      </x:c>
      <x:c r="I195" s="12" t="n">
        <x:v>89.5</x:v>
      </x:c>
    </x:row>
    <x:row r="196">
      <x:c r="H196" s="6" t="n">
        <x:v>40390</x:v>
      </x:c>
      <x:c r="I196" s="12" t="n">
        <x:v>89.3</x:v>
      </x:c>
    </x:row>
    <x:row r="197">
      <x:c r="H197" s="6" t="n">
        <x:v>40421</x:v>
      </x:c>
      <x:c r="I197" s="12" t="n">
        <x:v>89.8</x:v>
      </x:c>
    </x:row>
    <x:row r="198">
      <x:c r="H198" s="6" t="n">
        <x:v>40451</x:v>
      </x:c>
      <x:c r="I198" s="12" t="n">
        <x:v>89.8</x:v>
      </x:c>
    </x:row>
    <x:row r="199">
      <x:c r="H199" s="6" t="n">
        <x:v>40482</x:v>
      </x:c>
      <x:c r="I199" s="12" t="n">
        <x:v>90</x:v>
      </x:c>
    </x:row>
    <x:row r="200">
      <x:c r="H200" s="6" t="n">
        <x:v>40512</x:v>
      </x:c>
      <x:c r="I200" s="12" t="n">
        <x:v>90.3</x:v>
      </x:c>
    </x:row>
    <x:row r="201">
      <x:c r="H201" s="6" t="n">
        <x:v>40543</x:v>
      </x:c>
      <x:c r="I201" s="12" t="n">
        <x:v>91.2</x:v>
      </x:c>
    </x:row>
    <x:row r="202">
      <x:c r="H202" s="6" t="n">
        <x:v>40574</x:v>
      </x:c>
      <x:c r="I202" s="12" t="n">
        <x:v>91.3</x:v>
      </x:c>
    </x:row>
    <x:row r="203">
      <x:c r="H203" s="6" t="n">
        <x:v>40602</x:v>
      </x:c>
      <x:c r="I203" s="12" t="n">
        <x:v>92</x:v>
      </x:c>
    </x:row>
    <x:row r="204">
      <x:c r="H204" s="6" t="n">
        <x:v>40633</x:v>
      </x:c>
      <x:c r="I204" s="12" t="n">
        <x:v>92.2</x:v>
      </x:c>
    </x:row>
    <x:row r="205">
      <x:c r="H205" s="6" t="n">
        <x:v>40663</x:v>
      </x:c>
      <x:c r="I205" s="12" t="n">
        <x:v>93.2</x:v>
      </x:c>
    </x:row>
    <x:row r="206">
      <x:c r="H206" s="6" t="n">
        <x:v>40694</x:v>
      </x:c>
      <x:c r="I206" s="12" t="n">
        <x:v>93.4</x:v>
      </x:c>
    </x:row>
    <x:row r="207">
      <x:c r="H207" s="6" t="n">
        <x:v>40724</x:v>
      </x:c>
      <x:c r="I207" s="12" t="n">
        <x:v>93.3</x:v>
      </x:c>
    </x:row>
    <x:row r="208">
      <x:c r="H208" s="6" t="n">
        <x:v>40755</x:v>
      </x:c>
      <x:c r="I208" s="12" t="n">
        <x:v>93.3</x:v>
      </x:c>
    </x:row>
    <x:row r="209">
      <x:c r="H209" s="6" t="n">
        <x:v>40786</x:v>
      </x:c>
      <x:c r="I209" s="12" t="n">
        <x:v>93.8</x:v>
      </x:c>
    </x:row>
    <x:row r="210">
      <x:c r="H210" s="6" t="n">
        <x:v>40816</x:v>
      </x:c>
      <x:c r="I210" s="12" t="n">
        <x:v>94.4</x:v>
      </x:c>
    </x:row>
    <x:row r="211">
      <x:c r="H211" s="6" t="n">
        <x:v>40847</x:v>
      </x:c>
      <x:c r="I211" s="12" t="n">
        <x:v>94.5</x:v>
      </x:c>
    </x:row>
    <x:row r="212">
      <x:c r="H212" s="6" t="n">
        <x:v>40877</x:v>
      </x:c>
      <x:c r="I212" s="12" t="n">
        <x:v>94.6</x:v>
      </x:c>
    </x:row>
    <x:row r="213">
      <x:c r="H213" s="6" t="n">
        <x:v>40908</x:v>
      </x:c>
      <x:c r="I213" s="12" t="n">
        <x:v>95.1</x:v>
      </x:c>
    </x:row>
    <x:row r="214">
      <x:c r="H214" s="6" t="n">
        <x:v>40939</x:v>
      </x:c>
      <x:c r="I214" s="12" t="n">
        <x:v>94.6</x:v>
      </x:c>
    </x:row>
    <x:row r="215">
      <x:c r="H215" s="6" t="n">
        <x:v>40968</x:v>
      </x:c>
      <x:c r="I215" s="12" t="n">
        <x:v>95.1</x:v>
      </x:c>
    </x:row>
    <x:row r="216">
      <x:c r="H216" s="6" t="n">
        <x:v>40999</x:v>
      </x:c>
      <x:c r="I216" s="12" t="n">
        <x:v>95.4</x:v>
      </x:c>
    </x:row>
    <x:row r="217">
      <x:c r="H217" s="6" t="n">
        <x:v>41029</x:v>
      </x:c>
      <x:c r="I217" s="12" t="n">
        <x:v>96</x:v>
      </x:c>
    </x:row>
    <x:row r="218">
      <x:c r="H218" s="6" t="n">
        <x:v>41060</x:v>
      </x:c>
      <x:c r="I218" s="12" t="n">
        <x:v>95.9</x:v>
      </x:c>
    </x:row>
    <x:row r="219">
      <x:c r="H219" s="6" t="n">
        <x:v>41090</x:v>
      </x:c>
      <x:c r="I219" s="12" t="n">
        <x:v>95.5</x:v>
      </x:c>
    </x:row>
    <x:row r="220">
      <x:c r="H220" s="6" t="n">
        <x:v>41121</x:v>
      </x:c>
      <x:c r="I220" s="12" t="n">
        <x:v>95.6</x:v>
      </x:c>
    </x:row>
    <x:row r="221">
      <x:c r="H221" s="6" t="n">
        <x:v>41152</x:v>
      </x:c>
      <x:c r="I221" s="12" t="n">
        <x:v>96.1</x:v>
      </x:c>
    </x:row>
    <x:row r="222">
      <x:c r="H222" s="6" t="n">
        <x:v>41182</x:v>
      </x:c>
      <x:c r="I222" s="12" t="n">
        <x:v>96.5</x:v>
      </x:c>
    </x:row>
    <x:row r="223">
      <x:c r="H223" s="6" t="n">
        <x:v>41213</x:v>
      </x:c>
      <x:c r="I223" s="12" t="n">
        <x:v>97</x:v>
      </x:c>
    </x:row>
    <x:row r="224">
      <x:c r="H224" s="6" t="n">
        <x:v>41243</x:v>
      </x:c>
      <x:c r="I224" s="12" t="n">
        <x:v>97.2</x:v>
      </x:c>
    </x:row>
    <x:row r="225">
      <x:c r="H225" s="6" t="n">
        <x:v>41274</x:v>
      </x:c>
      <x:c r="I225" s="12" t="n">
        <x:v>97.6</x:v>
      </x:c>
    </x:row>
    <x:row r="226">
      <x:c r="H226" s="6" t="n">
        <x:v>41305</x:v>
      </x:c>
      <x:c r="I226" s="12" t="n">
        <x:v>97.1</x:v>
      </x:c>
    </x:row>
    <x:row r="227">
      <x:c r="H227" s="6" t="n">
        <x:v>41333</x:v>
      </x:c>
      <x:c r="I227" s="12" t="n">
        <x:v>97.8</x:v>
      </x:c>
    </x:row>
    <x:row r="228">
      <x:c r="H228" s="6" t="n">
        <x:v>41364</x:v>
      </x:c>
      <x:c r="I228" s="12" t="n">
        <x:v>98.1</x:v>
      </x:c>
    </x:row>
    <x:row r="229">
      <x:c r="H229" s="6" t="n">
        <x:v>41394</x:v>
      </x:c>
      <x:c r="I229" s="12" t="n">
        <x:v>98.3</x:v>
      </x:c>
    </x:row>
    <x:row r="230">
      <x:c r="H230" s="6" t="n">
        <x:v>41425</x:v>
      </x:c>
      <x:c r="I230" s="12" t="n">
        <x:v>98.5</x:v>
      </x:c>
    </x:row>
    <x:row r="231">
      <x:c r="H231" s="6" t="n">
        <x:v>41455</x:v>
      </x:c>
      <x:c r="I231" s="12" t="n">
        <x:v>98.3</x:v>
      </x:c>
    </x:row>
    <x:row r="232">
      <x:c r="H232" s="6" t="n">
        <x:v>41486</x:v>
      </x:c>
      <x:c r="I232" s="12" t="n">
        <x:v>98.3</x:v>
      </x:c>
    </x:row>
    <x:row r="233">
      <x:c r="H233" s="6" t="n">
        <x:v>41517</x:v>
      </x:c>
      <x:c r="I233" s="12" t="n">
        <x:v>98.7</x:v>
      </x:c>
    </x:row>
    <x:row r="234">
      <x:c r="H234" s="6" t="n">
        <x:v>41547</x:v>
      </x:c>
      <x:c r="I234" s="12" t="n">
        <x:v>99.1</x:v>
      </x:c>
    </x:row>
    <x:row r="235">
      <x:c r="H235" s="6" t="n">
        <x:v>41578</x:v>
      </x:c>
      <x:c r="I235" s="12" t="n">
        <x:v>99.1</x:v>
      </x:c>
    </x:row>
    <x:row r="236">
      <x:c r="H236" s="6" t="n">
        <x:v>41608</x:v>
      </x:c>
      <x:c r="I236" s="12" t="n">
        <x:v>99.2</x:v>
      </x:c>
    </x:row>
    <x:row r="237">
      <x:c r="H237" s="6" t="n">
        <x:v>41639</x:v>
      </x:c>
      <x:c r="I237" s="12" t="n">
        <x:v>99.6</x:v>
      </x:c>
    </x:row>
    <x:row r="238">
      <x:c r="H238" s="6" t="n">
        <x:v>41670</x:v>
      </x:c>
      <x:c r="I238" s="12" t="n">
        <x:v>99</x:v>
      </x:c>
    </x:row>
    <x:row r="239">
      <x:c r="H239" s="6" t="n">
        <x:v>41698</x:v>
      </x:c>
      <x:c r="I239" s="12" t="n">
        <x:v>99.5</x:v>
      </x:c>
    </x:row>
    <x:row r="240">
      <x:c r="H240" s="6" t="n">
        <x:v>41729</x:v>
      </x:c>
      <x:c r="I240" s="12" t="n">
        <x:v>99.7</x:v>
      </x:c>
    </x:row>
    <x:row r="241">
      <x:c r="H241" s="6" t="n">
        <x:v>41759</x:v>
      </x:c>
      <x:c r="I241" s="12" t="n">
        <x:v>100.1</x:v>
      </x:c>
    </x:row>
    <x:row r="242">
      <x:c r="H242" s="6" t="n">
        <x:v>41790</x:v>
      </x:c>
      <x:c r="I242" s="12" t="n">
        <x:v>100</x:v>
      </x:c>
    </x:row>
    <x:row r="243">
      <x:c r="H243" s="6" t="n">
        <x:v>41820</x:v>
      </x:c>
      <x:c r="I243" s="12" t="n">
        <x:v>100.2</x:v>
      </x:c>
    </x:row>
    <x:row r="244">
      <x:c r="H244" s="6" t="n">
        <x:v>41851</x:v>
      </x:c>
      <x:c r="I244" s="12" t="n">
        <x:v>99.9</x:v>
      </x:c>
    </x:row>
    <x:row r="245">
      <x:c r="H245" s="6" t="n">
        <x:v>41882</x:v>
      </x:c>
      <x:c r="I245" s="12" t="n">
        <x:v>100.2</x:v>
      </x:c>
    </x:row>
    <x:row r="246">
      <x:c r="H246" s="6" t="n">
        <x:v>41912</x:v>
      </x:c>
      <x:c r="I246" s="12" t="n">
        <x:v>100.3</x:v>
      </x:c>
    </x:row>
    <x:row r="247">
      <x:c r="H247" s="6" t="n">
        <x:v>41943</x:v>
      </x:c>
      <x:c r="I247" s="12" t="n">
        <x:v>100.4</x:v>
      </x:c>
    </x:row>
    <x:row r="248">
      <x:c r="H248" s="6" t="n">
        <x:v>41973</x:v>
      </x:c>
      <x:c r="I248" s="12" t="n">
        <x:v>100.1</x:v>
      </x:c>
    </x:row>
    <x:row r="249">
      <x:c r="H249" s="6" t="n">
        <x:v>42004</x:v>
      </x:c>
      <x:c r="I249" s="12" t="n">
        <x:v>100.1</x:v>
      </x:c>
    </x:row>
    <x:row r="250">
      <x:c r="H250" s="6" t="n">
        <x:v>42035</x:v>
      </x:c>
      <x:c r="I250" s="12" t="n">
        <x:v>99.3</x:v>
      </x:c>
    </x:row>
    <x:row r="251">
      <x:c r="H251" s="6" t="n">
        <x:v>42063</x:v>
      </x:c>
      <x:c r="I251" s="12" t="n">
        <x:v>99.5</x:v>
      </x:c>
    </x:row>
    <x:row r="252">
      <x:c r="H252" s="6" t="n">
        <x:v>42094</x:v>
      </x:c>
      <x:c r="I252" s="12" t="n">
        <x:v>99.7</x:v>
      </x:c>
    </x:row>
    <x:row r="253">
      <x:c r="H253" s="6" t="n">
        <x:v>42124</x:v>
      </x:c>
      <x:c r="I253" s="12" t="n">
        <x:v>99.9</x:v>
      </x:c>
    </x:row>
    <x:row r="254">
      <x:c r="H254" s="6" t="n">
        <x:v>42155</x:v>
      </x:c>
      <x:c r="I254" s="12" t="n">
        <x:v>100.1</x:v>
      </x:c>
    </x:row>
    <x:row r="255">
      <x:c r="H255" s="6" t="n">
        <x:v>42185</x:v>
      </x:c>
      <x:c r="I255" s="12" t="n">
        <x:v>100.2</x:v>
      </x:c>
    </x:row>
    <x:row r="256">
      <x:c r="H256" s="6" t="n">
        <x:v>42216</x:v>
      </x:c>
      <x:c r="I256" s="12" t="n">
        <x:v>100</x:v>
      </x:c>
    </x:row>
    <x:row r="257">
      <x:c r="H257" s="6" t="n">
        <x:v>42247</x:v>
      </x:c>
      <x:c r="I257" s="12" t="n">
        <x:v>100.3</x:v>
      </x:c>
    </x:row>
    <x:row r="258">
      <x:c r="H258" s="6" t="n">
        <x:v>42277</x:v>
      </x:c>
      <x:c r="I258" s="12" t="n">
        <x:v>100.2</x:v>
      </x:c>
    </x:row>
    <x:row r="259">
      <x:c r="H259" s="6" t="n">
        <x:v>42308</x:v>
      </x:c>
      <x:c r="I259" s="12" t="n">
        <x:v>100.3</x:v>
      </x:c>
    </x:row>
    <x:row r="260">
      <x:c r="H260" s="6" t="n">
        <x:v>42338</x:v>
      </x:c>
      <x:c r="I260" s="12" t="n">
        <x:v>100.3</x:v>
      </x:c>
    </x:row>
    <x:row r="261">
      <x:c r="H261" s="6" t="n">
        <x:v>42369</x:v>
      </x:c>
      <x:c r="I261" s="12" t="n">
        <x:v>100.3</x:v>
      </x:c>
    </x:row>
    <x:row r="262">
      <x:c r="H262" s="6" t="n">
        <x:v>42400</x:v>
      </x:c>
      <x:c r="I262" s="12" t="n">
        <x:v>99.5</x:v>
      </x:c>
    </x:row>
    <x:row r="263">
      <x:c r="H263" s="6" t="n">
        <x:v>42429</x:v>
      </x:c>
      <x:c r="I263" s="12" t="n">
        <x:v>99.8</x:v>
      </x:c>
    </x:row>
    <x:row r="264">
      <x:c r="H264" s="6" t="n">
        <x:v>42460</x:v>
      </x:c>
      <x:c r="I264" s="12" t="n">
        <x:v>100.2</x:v>
      </x:c>
    </x:row>
    <x:row r="265">
      <x:c r="H265" s="6" t="n">
        <x:v>42490</x:v>
      </x:c>
      <x:c r="I265" s="12" t="n">
        <x:v>100.2</x:v>
      </x:c>
    </x:row>
    <x:row r="266">
      <x:c r="H266" s="6" t="n">
        <x:v>42521</x:v>
      </x:c>
      <x:c r="I266" s="12" t="n">
        <x:v>100.4</x:v>
      </x:c>
    </x:row>
    <x:row r="267">
      <x:c r="H267" s="6" t="n">
        <x:v>42551</x:v>
      </x:c>
      <x:c r="I267" s="12" t="n">
        <x:v>100.6</x:v>
      </x:c>
    </x:row>
    <x:row r="268">
      <x:c r="H268" s="6" t="n">
        <x:v>42582</x:v>
      </x:c>
      <x:c r="I268" s="12" t="n">
        <x:v>100.6</x:v>
      </x:c>
    </x:row>
    <x:row r="269">
      <x:c r="H269" s="6" t="n">
        <x:v>42613</x:v>
      </x:c>
      <x:c r="I269" s="12" t="n">
        <x:v>100.9</x:v>
      </x:c>
    </x:row>
    <x:row r="270">
      <x:c r="H270" s="6" t="n">
        <x:v>42643</x:v>
      </x:c>
      <x:c r="I270" s="12" t="n">
        <x:v>101.1</x:v>
      </x:c>
    </x:row>
    <x:row r="271">
      <x:c r="H271" s="6" t="n">
        <x:v>42674</x:v>
      </x:c>
      <x:c r="I271" s="12" t="n">
        <x:v>101.2</x:v>
      </x:c>
    </x:row>
    <x:row r="272">
      <x:c r="H272" s="6" t="n">
        <x:v>42704</x:v>
      </x:c>
      <x:c r="I272" s="12" t="n">
        <x:v>101.4</x:v>
      </x:c>
    </x:row>
    <x:row r="273">
      <x:c r="H273" s="6" t="n">
        <x:v>42735</x:v>
      </x:c>
      <x:c r="I273" s="12" t="n">
        <x:v>101.9</x:v>
      </x:c>
    </x:row>
    <x:row r="274">
      <x:c r="H274" s="6" t="n">
        <x:v>42766</x:v>
      </x:c>
      <x:c r="I274" s="12" t="n">
        <x:v>101.4</x:v>
      </x:c>
    </x:row>
    <x:row r="275">
      <x:c r="H275" s="6" t="n">
        <x:v>42794</x:v>
      </x:c>
      <x:c r="I275" s="12" t="n">
        <x:v>102.1</x:v>
      </x:c>
    </x:row>
    <x:row r="276">
      <x:c r="H276" s="6" t="n">
        <x:v>42825</x:v>
      </x:c>
      <x:c r="I276" s="12" t="n">
        <x:v>102.5</x:v>
      </x:c>
    </x:row>
    <x:row r="277">
      <x:c r="H277" s="6" t="n">
        <x:v>42855</x:v>
      </x:c>
      <x:c r="I277" s="12" t="n">
        <x:v>102.9</x:v>
      </x:c>
    </x:row>
    <x:row r="278">
      <x:c r="H278" s="6" t="n">
        <x:v>42886</x:v>
      </x:c>
      <x:c r="I278" s="12" t="n">
        <x:v>103.3</x:v>
      </x:c>
    </x:row>
    <x:row r="279">
      <x:c r="H279" s="6" t="n">
        <x:v>42916</x:v>
      </x:c>
      <x:c r="I279" s="12" t="n">
        <x:v>103.3</x:v>
      </x:c>
    </x:row>
    <x:row r="280">
      <x:c r="H280" s="6" t="n">
        <x:v>42947</x:v>
      </x:c>
      <x:c r="I280" s="12" t="n">
        <x:v>103.2</x:v>
      </x:c>
    </x:row>
    <x:row r="281">
      <x:c r="H281" s="6" t="n">
        <x:v>42978</x:v>
      </x:c>
      <x:c r="I281" s="12" t="n">
        <x:v>103.8</x:v>
      </x:c>
    </x:row>
    <x:row r="282">
      <x:c r="H282" s="6" t="n">
        <x:v>43008</x:v>
      </x:c>
      <x:c r="I282" s="12" t="n">
        <x:v>104.1</x:v>
      </x:c>
    </x:row>
    <x:row r="283">
      <x:c r="H283" s="6" t="n">
        <x:v>43039</x:v>
      </x:c>
      <x:c r="I283" s="12" t="n">
        <x:v>104.2</x:v>
      </x:c>
    </x:row>
    <x:row r="284">
      <x:c r="H284" s="6" t="n">
        <x:v>43069</x:v>
      </x:c>
      <x:c r="I284" s="12" t="n">
        <x:v>104.6</x:v>
      </x:c>
    </x:row>
    <x:row r="285">
      <x:c r="H285" s="6" t="n">
        <x:v>43100</x:v>
      </x:c>
      <x:c r="I285" s="12" t="n">
        <x:v>104.9</x:v>
      </x:c>
    </x:row>
    <x:row r="286">
      <x:c r="H286" s="6" t="n">
        <x:v>43131</x:v>
      </x:c>
      <x:c r="I286" s="12" t="n">
        <x:v>104.4</x:v>
      </x:c>
    </x:row>
    <x:row r="287">
      <x:c r="H287" s="6" t="n">
        <x:v>43159</x:v>
      </x:c>
      <x:c r="I287" s="12" t="n">
        <x:v>104.9</x:v>
      </x:c>
    </x:row>
    <x:row r="288">
      <x:c r="H288" s="6" t="n">
        <x:v>43190</x:v>
      </x:c>
      <x:c r="I288" s="12" t="n">
        <x:v>105</x:v>
      </x:c>
    </x:row>
    <x:row r="289">
      <x:c r="H289" s="6" t="n">
        <x:v>43220</x:v>
      </x:c>
      <x:c r="I289" s="12" t="n">
        <x:v>105.4</x:v>
      </x:c>
    </x:row>
    <x:row r="290">
      <x:c r="H290" s="6" t="n">
        <x:v>43251</x:v>
      </x:c>
      <x:c r="I290" s="12" t="n">
        <x:v>105.8</x:v>
      </x:c>
    </x:row>
    <x:row r="291">
      <x:c r="H291" s="6" t="n">
        <x:v>43281</x:v>
      </x:c>
      <x:c r="I291" s="12" t="n">
        <x:v>105.8</x:v>
      </x:c>
    </x:row>
    <x:row r="292">
      <x:c r="H292" s="6" t="n">
        <x:v>43312</x:v>
      </x:c>
      <x:c r="I292" s="12" t="n">
        <x:v>105.8</x:v>
      </x:c>
    </x:row>
    <x:row r="293">
      <x:c r="H293" s="6" t="n">
        <x:v>43343</x:v>
      </x:c>
      <x:c r="I293" s="12" t="n">
        <x:v>106.5</x:v>
      </x:c>
    </x:row>
    <x:row r="294">
      <x:c r="H294" s="6" t="n">
        <x:v>43373</x:v>
      </x:c>
      <x:c r="I294" s="12" t="n">
        <x:v>106.6</x:v>
      </x:c>
    </x:row>
    <x:row r="295">
      <x:c r="H295" s="6" t="n">
        <x:v>43404</x:v>
      </x:c>
      <x:c r="I295" s="12" t="n">
        <x:v>106.7</x:v>
      </x:c>
    </x:row>
    <x:row r="296">
      <x:c r="H296" s="6" t="n">
        <x:v>43434</x:v>
      </x:c>
      <x:c r="I296" s="12" t="n">
        <x:v>107</x:v>
      </x:c>
    </x:row>
    <x:row r="297">
      <x:c r="H297" s="6" t="n">
        <x:v>43465</x:v>
      </x:c>
      <x:c r="I297" s="12" t="n">
        <x:v>107.1</x:v>
      </x:c>
    </x:row>
    <x:row r="298">
      <x:c r="H298" s="6" t="n">
        <x:v>43496</x:v>
      </x:c>
      <x:c r="I298" s="12" t="n">
        <x:v>106.3</x:v>
      </x:c>
    </x:row>
    <x:row r="299">
      <x:c r="H299" s="6" t="n">
        <x:v>43524</x:v>
      </x:c>
      <x:c r="I299" s="12" t="n">
        <x:v>106.8</x:v>
      </x:c>
    </x:row>
    <x:row r="300">
      <x:c r="H300" s="6" t="n">
        <x:v>43555</x:v>
      </x:c>
      <x:c r="I300" s="12" t="n">
        <x:v>107</x:v>
      </x:c>
    </x:row>
    <x:row r="301">
      <x:c r="H301" s="6" t="n">
        <x:v>43585</x:v>
      </x:c>
      <x:c r="I301" s="12" t="n">
        <x:v>107.6</x:v>
      </x:c>
    </x:row>
    <x:row r="302">
      <x:c r="H302" s="6" t="n">
        <x:v>43616</x:v>
      </x:c>
      <x:c r="I302" s="12" t="n">
        <x:v>107.9</x:v>
      </x:c>
    </x:row>
    <x:row r="303">
      <x:c r="H303" s="6" t="n">
        <x:v>43646</x:v>
      </x:c>
      <x:c r="I303" s="12" t="n">
        <x:v>107.9</x:v>
      </x:c>
    </x:row>
    <x:row r="304">
      <x:c r="H304" s="6" t="n">
        <x:v>43677</x:v>
      </x:c>
      <x:c r="I304" s="12" t="n">
        <x:v>107.9</x:v>
      </x:c>
    </x:row>
    <x:row r="305">
      <x:c r="H305" s="6" t="n">
        <x:v>43708</x:v>
      </x:c>
      <x:c r="I305" s="12" t="n">
        <x:v>108.4</x:v>
      </x:c>
    </x:row>
    <x:row r="306">
      <x:c r="H306" s="6" t="n">
        <x:v>43738</x:v>
      </x:c>
      <x:c r="I306" s="12" t="n">
        <x:v>108.5</x:v>
      </x:c>
    </x:row>
    <x:row r="307">
      <x:c r="H307" s="6" t="n">
        <x:v>43769</x:v>
      </x:c>
      <x:c r="I307" s="12" t="n">
        <x:v>108.3</x:v>
      </x:c>
    </x:row>
    <x:row r="308">
      <x:c r="H308" s="6" t="n">
        <x:v>43799</x:v>
      </x:c>
      <x:c r="I308" s="12" t="n">
        <x:v>108.5</x:v>
      </x:c>
    </x:row>
    <x:row r="309">
      <x:c r="H309" s="6" t="n">
        <x:v>43830</x:v>
      </x:c>
      <x:c r="I309" s="12" t="n">
        <x:v>108.5</x:v>
      </x:c>
    </x:row>
    <x:row r="310">
      <x:c r="H310" s="6" t="n">
        <x:v>43861</x:v>
      </x:c>
      <x:c r="I310" s="12" t="n">
        <x:v>108.2</x:v>
      </x:c>
    </x:row>
    <x:row r="311">
      <x:c r="H311" s="6" t="n">
        <x:v>43890</x:v>
      </x:c>
      <x:c r="I311" s="12" t="n">
        <x:v>108.6</x:v>
      </x:c>
    </x:row>
    <x:row r="312">
      <x:c r="H312" s="6" t="n">
        <x:v>43921</x:v>
      </x:c>
      <x:c r="I312" s="12" t="n">
        <x:v>108.6</x:v>
      </x:c>
    </x:row>
    <x:row r="313">
      <x:c r="H313" s="6" t="n">
        <x:v>43951</x:v>
      </x:c>
      <x:c r="I313" s="12" t="n">
        <x:v>108.5</x:v>
      </x:c>
    </x:row>
    <x:row r="314">
      <x:c r="H314" s="6" t="n">
        <x:v>43982</x:v>
      </x:c>
      <x:c r="I314" s="12" t="n">
        <x:v>108.5</x:v>
      </x:c>
    </x:row>
    <x:row r="315">
      <x:c r="H315" s="6" t="n">
        <x:v>44012</x:v>
      </x:c>
      <x:c r="I315" s="12" t="n">
        <x:v>108.6</x:v>
      </x:c>
    </x:row>
    <x:row r="316">
      <x:c r="H316" s="6" t="n">
        <x:v>44043</x:v>
      </x:c>
      <x:c r="I316" s="12" t="n">
        <x:v>109.1</x:v>
      </x:c>
    </x:row>
    <x:row r="317">
      <x:c r="H317" s="6" t="n">
        <x:v>44074</x:v>
      </x:c>
      <x:c r="I317" s="12" t="n">
        <x:v>108.6</x:v>
      </x:c>
    </x:row>
    <x:row r="318">
      <x:c r="H318" s="6" t="n">
        <x:v>44104</x:v>
      </x:c>
      <x:c r="I318" s="12" t="n">
        <x:v>109.1</x:v>
      </x:c>
    </x:row>
    <x:row r="319">
      <x:c r="H319" s="6" t="n">
        <x:v>44135</x:v>
      </x:c>
      <x:c r="I319" s="12" t="n">
        <x:v>109.1</x:v>
      </x:c>
    </x:row>
    <x:row r="320">
      <x:c r="H320" s="6" t="n">
        <x:v>44165</x:v>
      </x:c>
      <x:c r="I320" s="12" t="n">
        <x:v>108.9</x:v>
      </x:c>
    </x:row>
    <x:row r="321">
      <x:c r="H321" s="6" t="n">
        <x:v>44196</x:v>
      </x:c>
      <x:c r="I321" s="12" t="n">
        <x:v>109.2</x:v>
      </x:c>
    </x:row>
    <x:row r="322">
      <x:c r="H322" s="6" t="n">
        <x:v>44227</x:v>
      </x:c>
      <x:c r="I322" s="12" t="n">
        <x:v>109</x:v>
      </x:c>
    </x:row>
    <x:row r="323">
      <x:c r="H323" s="6" t="n">
        <x:v>44255</x:v>
      </x:c>
      <x:c r="I323" s="12" t="n">
        <x:v>109.1</x:v>
      </x:c>
    </x:row>
    <x:row r="324">
      <x:c r="H324" s="6" t="n">
        <x:v>44286</x:v>
      </x:c>
      <x:c r="I324" s="12" t="n">
        <x:v>109.4</x:v>
      </x:c>
    </x:row>
    <x:row r="325">
      <x:c r="H325" s="6" t="n">
        <x:v>44316</x:v>
      </x:c>
      <x:c r="I325" s="12" t="n">
        <x:v>110.1</x:v>
      </x:c>
    </x:row>
    <x:row r="326">
      <x:c r="H326" s="6" t="n">
        <x:v>44347</x:v>
      </x:c>
      <x:c r="I326" s="12" t="n">
        <x:v>110.8</x:v>
      </x:c>
    </x:row>
    <x:row r="327">
      <x:c r="H327" s="6" t="n">
        <x:v>44377</x:v>
      </x:c>
      <x:c r="I327" s="12" t="n">
        <x:v>111.3</x:v>
      </x:c>
    </x:row>
    <x:row r="328">
      <x:c r="H328" s="6" t="n">
        <x:v>44408</x:v>
      </x:c>
      <x:c r="I328" s="12" t="n">
        <x:v>111.3</x:v>
      </x:c>
    </x:row>
    <x:row r="329">
      <x:c r="H329" s="6" t="n">
        <x:v>44439</x:v>
      </x:c>
      <x:c r="I329" s="12" t="n">
        <x:v>112.1</x:v>
      </x:c>
    </x:row>
    <x:row r="330">
      <x:c r="H330" s="6" t="n">
        <x:v>44469</x:v>
      </x:c>
      <x:c r="I330" s="12" t="n">
        <x:v>112.4</x:v>
      </x:c>
    </x:row>
    <x:row r="331">
      <x:c r="H331" s="6" t="n">
        <x:v>44500</x:v>
      </x:c>
      <x:c r="I331" s="12" t="n">
        <x:v>113.6</x:v>
      </x:c>
    </x:row>
    <x:row r="332">
      <x:c r="H332" s="6" t="n">
        <x:v>44530</x:v>
      </x:c>
      <x:c r="I332" s="12" t="n">
        <x:v>114.5</x:v>
      </x:c>
    </x:row>
    <x:row r="333">
      <x:c r="H333" s="6" t="n">
        <x:v>44561</x:v>
      </x:c>
      <x:c r="I333" s="12" t="n">
        <x:v>115.1</x:v>
      </x:c>
    </x:row>
    <x:row r="334">
      <x:c r="H334" s="6" t="n">
        <x:v>44592</x:v>
      </x:c>
      <x:c r="I334" s="12" t="n">
        <x:v>114.9</x:v>
      </x:c>
    </x:row>
    <x:row r="335">
      <x:c r="H335" s="6" t="n">
        <x:v>44620</x:v>
      </x:c>
      <x:c r="I335" s="12" t="n">
        <x:v>115.8</x:v>
      </x:c>
    </x:row>
    <x:row r="336">
      <x:c r="H336" s="6" t="n">
        <x:v>44651</x:v>
      </x:c>
      <x:c r="I336" s="12" t="n">
        <x:v>117.1</x:v>
      </x:c>
    </x:row>
    <x:row r="337">
      <x:c r="H337" s="6" t="n">
        <x:v>44681</x:v>
      </x:c>
      <x:c r="I337" s="12" t="n">
        <x:v>120</x:v>
      </x:c>
    </x:row>
    <x:row r="338">
      <x:c r="H338" s="6" t="n">
        <x:v>44712</x:v>
      </x:c>
      <x:c r="I338" s="12" t="n">
        <x:v>120.8</x:v>
      </x:c>
    </x:row>
    <x:row r="339">
      <x:c r="H339" s="6" t="n">
        <x:v>44742</x:v>
      </x:c>
      <x:c r="I339" s="12" t="n">
        <x:v>121.8</x:v>
      </x:c>
    </x:row>
    <x:row r="340">
      <x:c r="H340" s="6" t="n">
        <x:v>44773</x:v>
      </x:c>
      <x:c r="I340" s="12" t="n">
        <x:v>122.5</x:v>
      </x:c>
    </x:row>
    <x:row r="341">
      <x:c r="H341" s="6" t="n">
        <x:v>44804</x:v>
      </x:c>
      <x:c r="I341" s="12" t="n">
        <x:v>123.1</x:v>
      </x:c>
    </x:row>
    <x:row r="342">
      <x:c r="H342" s="6" t="n">
        <x:v>44834</x:v>
      </x:c>
      <x:c r="I342" s="12" t="n">
        <x:v>123.8</x:v>
      </x:c>
    </x:row>
    <x:row r="343">
      <x:c r="H343" s="6" t="n">
        <x:v>44865</x:v>
      </x:c>
      <x:c r="I343" s="12" t="n">
        <x:v>126.2</x:v>
      </x:c>
    </x:row>
    <x:row r="344">
      <x:c r="H344" s="6" t="n">
        <x:v>44895</x:v>
      </x:c>
      <x:c r="I344" s="12" t="n">
        <x:v>126.7</x:v>
      </x:c>
    </x:row>
    <x:row r="345">
      <x:c r="H345" s="6" t="n">
        <x:v>44926</x:v>
      </x:c>
      <x:c r="I345" s="12" t="n">
        <x:v>127.2</x:v>
      </x:c>
    </x:row>
    <x:row r="346">
      <x:c r="H346" s="6" t="n">
        <x:v>44957</x:v>
      </x:c>
      <x:c r="I346" s="12" t="n">
        <x:v>126.4</x:v>
      </x:c>
    </x:row>
    <x:row r="347">
      <x:c r="H347" s="6" t="n">
        <x:v>44985</x:v>
      </x:c>
      <x:c r="I347" s="12" t="n">
        <x:v>127.9</x:v>
      </x:c>
    </x:row>
    <x:row r="348">
      <x:c r="H348" s="6" t="n">
        <x:v>45016</x:v>
      </x:c>
      <x:c r="I348" s="12" t="n">
        <x:v>128.9</x:v>
      </x:c>
    </x:row>
    <x:row r="349">
      <x:c r="H349" s="6" t="n">
        <x:v>45046</x:v>
      </x:c>
      <x:c r="I349" s="12" t="n">
        <x:v>130.4</x:v>
      </x:c>
    </x:row>
    <x:row r="350">
      <x:c r="H350" s="6" t="n">
        <x:v>45077</x:v>
      </x:c>
      <x:c r="I350" s="12" t="n">
        <x:v>131.3</x:v>
      </x:c>
    </x:row>
    <x:row r="351">
      <x:c r="H351" s="6" t="n">
        <x:v>45107</x:v>
      </x:c>
      <x:c r="I351" s="12" t="n">
        <x:v>131.5</x:v>
      </x:c>
    </x:row>
    <x:row r="352">
      <x:c r="H352" s="6" t="n">
        <x:v>45138</x:v>
      </x:c>
      <x:c r="I352" s="12" t="n">
        <x:v>130.9</x:v>
      </x:c>
    </x:row>
    <x:row r="353">
      <x:c r="H353" s="6" t="n">
        <x:v>45169</x:v>
      </x:c>
      <x:c r="I353" s="12" t="n">
        <x:v>131.3</x:v>
      </x:c>
    </x:row>
    <x:row r="354">
      <x:c r="H354" s="6" t="n">
        <x:v>45199</x:v>
      </x:c>
      <x:c r="I354" s="12" t="n">
        <x:v>132</x:v>
      </x:c>
    </x:row>
    <x:row r="355">
      <x:c r="H355" s="6" t="n">
        <x:v>45230</x:v>
      </x:c>
      <x:c r="I355" s="12" t="n">
        <x:v>132</x:v>
      </x:c>
    </x:row>
    <x:row r="356">
      <x:c r="H356" s="6" t="n">
        <x:v>45260</x:v>
      </x:c>
      <x:c r="I356" s="12" t="n">
        <x:v>131.7</x:v>
      </x:c>
    </x:row>
    <x:row r="357">
      <x:c r="H357" s="6" t="n">
        <x:v>45291</x:v>
      </x:c>
      <x:c r="I357" s="12" t="n">
        <x:v>132.2</x:v>
      </x:c>
    </x:row>
    <x:row r="358">
      <x:c r="H358" s="6" t="n">
        <x:v>45322</x:v>
      </x:c>
      <x:c r="I358" s="12" t="n">
        <x:v>131.5</x:v>
      </x:c>
    </x:row>
    <x:row r="359">
      <x:c r="H359" s="6" t="n">
        <x:v>45351</x:v>
      </x:c>
      <x:c r="I359" s="12" t="n">
        <x:v>132.3</x:v>
      </x:c>
    </x:row>
    <x:row r="360">
      <x:c r="H360" s="6" t="n">
        <x:v>45382</x:v>
      </x:c>
      <x:c r="I360" s="12" t="n">
        <x:v>133</x:v>
      </x:c>
    </x:row>
    <x:row r="361">
      <x:c r="H361" s="6" t="n">
        <x:v>45412</x:v>
      </x:c>
      <x:c r="I361" s="12" t="n">
        <x:v>133.5</x:v>
      </x:c>
    </x:row>
    <x:row r="362">
      <x:c r="H362" s="6" t="n">
        <x:v>45443</x:v>
      </x:c>
      <x:c r="I362" s="12" t="n">
        <x:v>133.9</x:v>
      </x:c>
    </x:row>
    <x:row r="363">
      <x:c r="H363" s="6" t="n">
        <x:v>45473</x:v>
      </x:c>
      <x:c r="I363" s="12" t="n">
        <x:v>134.1</x:v>
      </x:c>
    </x:row>
    <x:row r="364">
      <x:c r="H364" s="6" t="n">
        <x:v>45504</x:v>
      </x:c>
      <x:c r="I364" s="12" t="n">
        <x:v>133.8</x:v>
      </x:c>
    </x:row>
    <x:row r="365">
      <x:c r="H365" s="6" t="n">
        <x:v>45535</x:v>
      </x:c>
      <x:c r="I365" s="12" t="n">
        <x:v>134.3</x:v>
      </x:c>
    </x:row>
    <x:row r="366">
      <x:c r="H366" s="6" t="n">
        <x:v>45565</x:v>
      </x:c>
      <x:c r="I366" s="12" t="n">
        <x:v>134.2</x:v>
      </x:c>
    </x:row>
    <x:row r="367">
      <x:c r="H367" s="6" t="n">
        <x:v>45596</x:v>
      </x:c>
      <x:c r="I367" s="12" t="n">
        <x:v>135</x:v>
      </x:c>
    </x:row>
    <x:row r="368">
      <x:c r="H368" s="6" t="n">
        <x:v>45626</x:v>
      </x:c>
      <x:c r="I368" s="12" t="n">
        <x:v>135.1</x:v>
      </x:c>
    </x:row>
    <x:row r="369">
      <x:c r="H369" s="6" t="n">
        <x:v>45657</x:v>
      </x:c>
      <x:c r="I369" s="12" t="n">
        <x:v>135.6</x:v>
      </x:c>
    </x:row>
    <x:row r="370">
      <x:c r="H370" s="6" t="n">
        <x:v>45688</x:v>
      </x:c>
      <x:c r="I370" s="12" t="n">
        <x:v>135.4</x:v>
      </x:c>
    </x:row>
    <x:row r="371">
      <x:c r="H371" s="6" t="n">
        <x:v>45716</x:v>
      </x:c>
      <x:c r="I371" s="12" t="n">
        <x:v>136</x:v>
      </x:c>
    </x:row>
    <x:row r="372">
      <x:c r="H372" s="6" t="n">
        <x:v>45747</x:v>
      </x:c>
      <x:c r="I372" s="12" t="n">
        <x:v>136.5</x:v>
      </x:c>
    </x:row>
    <x:row r="373">
      <x:c r="H373" s="6" t="n">
        <x:v>45777</x:v>
      </x:c>
      <x:c r="I373" s="12" t="n">
        <x:v>138.2</x:v>
      </x:c>
    </x:row>
    <x:row r="374">
      <x:c r="H374" s="6" t="n">
        <x:v>45808</x:v>
      </x:c>
      <x:c r="I374" s="12" t="n">
        <x:v>138.4</x:v>
      </x:c>
    </x:row>
    <x:row r="375">
      <x:c r="H375" s="6" t="n">
        <x:v>45838</x:v>
      </x:c>
      <x:c r="I375" s="12" t="n">
        <x:v>138.9</x:v>
      </x:c>
    </x:row>
    <x:row r="376">
      <x:c r="H376" s="6" t="n">
        <x:v>45869</x:v>
      </x:c>
      <x:c r="I376" s="12" t="n">
        <x:v>139</x:v>
      </x:c>
    </x:row>
    <x:row r="377">
      <x:c r="H377" s="6" t="n">
        <x:v>45900</x:v>
      </x:c>
      <x:c r="I377" s="12" t="n">
        <x:v>139.3</x:v>
      </x:c>
    </x:row>
    <x:row r="378">
      <x:c r="H378" s="6" t="n">
        <x:v>45930</x:v>
      </x:c>
      <x:c r="I378" s="12" t="n">
        <x:v>139.3</x:v>
      </x:c>
    </x:row>
    <x:row r="379">
      <x:c r="H379" s="6" t="n">
        <x:v>45961</x:v>
      </x:c>
      <x:c r="I379" s="12" t="n">
        <x:v>139.8</x:v>
      </x:c>
    </x:row>
    <x:row r="380">
      <x:c r="H380" s="6" t="n">
        <x:v>45991</x:v>
      </x:c>
      <x:c r="I380" s="12" t="n">
        <x:v>139.5</x:v>
      </x:c>
    </x:row>
    <x:row r="381">
      <x:c r="H381" s="6" t="n">
        <x:v>46022</x:v>
      </x:c>
      <x:c r="I381" s="12" t="n">
        <x:v>140.1</x:v>
      </x:c>
    </x:row>
    <x:row r="382">
      <x:c r="H382" s="6" t="n">
        <x:v>46053</x:v>
      </x:c>
      <x:c r="I382" s="12" t="n">
        <x:v>139.5</x:v>
      </x:c>
    </x:row>
    <x:row r="383">
      <x:c r="H383" s="6" t="n">
        <x:v>46081</x:v>
      </x:c>
      <x:c r="I383" s="12" t="n">
        <x:v>140.1</x:v>
      </x:c>
    </x:row>
    <x:row r="384">
      <x:c r="H384" s="6" t="n">
        <x:v>46112</x:v>
      </x:c>
      <x:c r="I384" s="12" t="n">
        <x:v>141</x:v>
      </x:c>
    </x:row>
    <x:row r="385">
      <x:c r="H385" s="6" t="n">
        <x:v>46142</x:v>
      </x:c>
      <x:c r="I385" s="12" t="n">
        <x:v>142.1</x:v>
      </x:c>
    </x:row>
    <x:row r="386">
      <x:c r="H386" s="6" t="n">
        <x:v>46173</x:v>
      </x:c>
      <x:c r="I386" s="12" t="n">
        <x:v>142.4</x:v>
      </x:c>
    </x:row>
    <x:row r="387">
      <x:c r="H387" s="6" t="n">
        <x:v>46203</x:v>
      </x:c>
      <x:c r="I387" s="12" t="n">
        <x:v>142.5</x:v>
      </x:c>
    </x:row>
  </x:sheetData>
  <x:pageMargins left="0.7" right="0.7" top="0.75" bottom="0.75" header="0.3" footer="0.3"/>
</x:worksheet>
</file>